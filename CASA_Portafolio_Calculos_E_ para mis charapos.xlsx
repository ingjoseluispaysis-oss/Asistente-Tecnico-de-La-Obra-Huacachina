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B77295-6296-4369-BADC-5BEB3412B95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01_Resumen_Portafolio" sheetId="1" r:id="rId1"/>
    <sheet name="02_Alineacion_Estrategica" sheetId="2" r:id="rId2"/>
    <sheet name="03_Evaluacion_Riesgos" sheetId="3" r:id="rId3"/>
    <sheet name="04_Scoring_Priorizacion" sheetId="4" r:id="rId4"/>
    <sheet name="05_Matriz_AHP" sheetId="5" r:id="rId5"/>
    <sheet name="06_Capacidad_y_Balance" sheetId="6" r:id="rId6"/>
    <sheet name="07_Cronograma_Gantt" sheetId="7" r:id="rId7"/>
    <sheet name="08_Estadisticas_Grafico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02" i="8" l="1"/>
  <c r="T102" i="8"/>
  <c r="S102" i="8"/>
  <c r="U101" i="8"/>
  <c r="T101" i="8"/>
  <c r="S101" i="8"/>
  <c r="U100" i="8"/>
  <c r="T100" i="8"/>
  <c r="S100" i="8"/>
  <c r="E87" i="8"/>
  <c r="C87" i="8"/>
  <c r="B87" i="8"/>
  <c r="D87" i="8" s="1"/>
  <c r="A87" i="8"/>
  <c r="E86" i="8"/>
  <c r="B86" i="8"/>
  <c r="D86" i="8" s="1"/>
  <c r="A86" i="8"/>
  <c r="E85" i="8"/>
  <c r="D85" i="8"/>
  <c r="C85" i="8"/>
  <c r="B85" i="8"/>
  <c r="A85" i="8"/>
  <c r="E84" i="8"/>
  <c r="C84" i="8"/>
  <c r="B84" i="8"/>
  <c r="D84" i="8" s="1"/>
  <c r="A84" i="8"/>
  <c r="B83" i="8"/>
  <c r="E83" i="8" s="1"/>
  <c r="A83" i="8"/>
  <c r="D82" i="8"/>
  <c r="C82" i="8"/>
  <c r="B82" i="8"/>
  <c r="E82" i="8" s="1"/>
  <c r="A82" i="8"/>
  <c r="B81" i="8"/>
  <c r="E81" i="8" s="1"/>
  <c r="A81" i="8"/>
  <c r="B80" i="8"/>
  <c r="E80" i="8" s="1"/>
  <c r="A80" i="8"/>
  <c r="E79" i="8"/>
  <c r="D79" i="8"/>
  <c r="C79" i="8"/>
  <c r="B79" i="8"/>
  <c r="A79" i="8"/>
  <c r="C78" i="8"/>
  <c r="B78" i="8"/>
  <c r="E78" i="8" s="1"/>
  <c r="A78" i="8"/>
  <c r="E77" i="8"/>
  <c r="D77" i="8"/>
  <c r="C77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C51" i="8"/>
  <c r="B51" i="8"/>
  <c r="C50" i="8"/>
  <c r="B50" i="8"/>
  <c r="C49" i="8"/>
  <c r="B49" i="8"/>
  <c r="C48" i="8"/>
  <c r="B48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B22" i="8"/>
  <c r="B21" i="8"/>
  <c r="B20" i="8"/>
  <c r="B19" i="8"/>
  <c r="B18" i="8"/>
  <c r="B17" i="8"/>
  <c r="B16" i="8"/>
  <c r="B15" i="8"/>
  <c r="B14" i="8"/>
  <c r="B13" i="8"/>
  <c r="D26" i="6"/>
  <c r="D25" i="6"/>
  <c r="D24" i="6"/>
  <c r="D23" i="6"/>
  <c r="E19" i="6"/>
  <c r="B19" i="6"/>
  <c r="D18" i="6"/>
  <c r="F18" i="6" s="1"/>
  <c r="G18" i="6" s="1"/>
  <c r="D17" i="6"/>
  <c r="F17" i="6" s="1"/>
  <c r="G17" i="6" s="1"/>
  <c r="D16" i="6"/>
  <c r="F16" i="6" s="1"/>
  <c r="G16" i="6" s="1"/>
  <c r="D15" i="6"/>
  <c r="F15" i="6" s="1"/>
  <c r="G15" i="6" s="1"/>
  <c r="D14" i="6"/>
  <c r="D19" i="6" s="1"/>
  <c r="E10" i="6"/>
  <c r="E9" i="6"/>
  <c r="E8" i="6"/>
  <c r="E7" i="6"/>
  <c r="E6" i="6"/>
  <c r="I11" i="5"/>
  <c r="K11" i="5" s="1"/>
  <c r="I10" i="5"/>
  <c r="I9" i="5"/>
  <c r="I8" i="5"/>
  <c r="K7" i="5" s="1"/>
  <c r="I7" i="5"/>
  <c r="I6" i="5"/>
  <c r="I12" i="5" s="1"/>
  <c r="J16" i="4"/>
  <c r="I16" i="4"/>
  <c r="K16" i="4" s="1"/>
  <c r="J15" i="4"/>
  <c r="I15" i="4"/>
  <c r="K15" i="4" s="1"/>
  <c r="J14" i="4"/>
  <c r="I14" i="4"/>
  <c r="K14" i="4" s="1"/>
  <c r="K13" i="4"/>
  <c r="J13" i="4"/>
  <c r="I13" i="4"/>
  <c r="J12" i="4"/>
  <c r="I12" i="4"/>
  <c r="K12" i="4" s="1"/>
  <c r="J11" i="4"/>
  <c r="I11" i="4"/>
  <c r="K11" i="4" s="1"/>
  <c r="J10" i="4"/>
  <c r="I10" i="4"/>
  <c r="K10" i="4" s="1"/>
  <c r="K9" i="4"/>
  <c r="J9" i="4"/>
  <c r="I9" i="4"/>
  <c r="J8" i="4"/>
  <c r="I8" i="4"/>
  <c r="K8" i="4" s="1"/>
  <c r="J7" i="4"/>
  <c r="C21" i="4" s="1"/>
  <c r="D21" i="4" s="1"/>
  <c r="I7" i="4"/>
  <c r="K7" i="4" s="1"/>
  <c r="I6" i="4"/>
  <c r="C28" i="3"/>
  <c r="G13" i="3"/>
  <c r="H13" i="3" s="1"/>
  <c r="H12" i="3"/>
  <c r="G12" i="3"/>
  <c r="G11" i="3"/>
  <c r="H11" i="3" s="1"/>
  <c r="H10" i="3"/>
  <c r="G10" i="3"/>
  <c r="H9" i="3"/>
  <c r="G9" i="3"/>
  <c r="G8" i="3"/>
  <c r="H8" i="3" s="1"/>
  <c r="G7" i="3"/>
  <c r="H7" i="3" s="1"/>
  <c r="H6" i="3"/>
  <c r="G6" i="3"/>
  <c r="D29" i="2"/>
  <c r="D28" i="2"/>
  <c r="D27" i="2"/>
  <c r="D26" i="2"/>
  <c r="M23" i="2"/>
  <c r="L23" i="2"/>
  <c r="K23" i="2"/>
  <c r="J23" i="2"/>
  <c r="I23" i="2"/>
  <c r="H23" i="2"/>
  <c r="G23" i="2"/>
  <c r="F23" i="2"/>
  <c r="E23" i="2"/>
  <c r="D23" i="2"/>
  <c r="M22" i="2"/>
  <c r="L22" i="2"/>
  <c r="K22" i="2"/>
  <c r="J22" i="2"/>
  <c r="I22" i="2"/>
  <c r="H22" i="2"/>
  <c r="G22" i="2"/>
  <c r="F22" i="2"/>
  <c r="E22" i="2"/>
  <c r="D22" i="2"/>
  <c r="B21" i="2"/>
  <c r="C40" i="1"/>
  <c r="D40" i="1" s="1"/>
  <c r="B40" i="1"/>
  <c r="C39" i="1"/>
  <c r="D39" i="1" s="1"/>
  <c r="B39" i="1"/>
  <c r="C38" i="1"/>
  <c r="B38" i="1"/>
  <c r="B41" i="1" s="1"/>
  <c r="D33" i="1"/>
  <c r="E33" i="1" s="1"/>
  <c r="C8" i="8" s="1"/>
  <c r="C33" i="1"/>
  <c r="B33" i="1"/>
  <c r="B57" i="8" s="1"/>
  <c r="D32" i="1"/>
  <c r="C32" i="1"/>
  <c r="B32" i="1"/>
  <c r="B56" i="8" s="1"/>
  <c r="D31" i="1"/>
  <c r="B6" i="8" s="1"/>
  <c r="D6" i="8" s="1"/>
  <c r="C31" i="1"/>
  <c r="B31" i="1"/>
  <c r="B34" i="1" s="1"/>
  <c r="K27" i="1"/>
  <c r="H26" i="1"/>
  <c r="G26" i="1"/>
  <c r="H25" i="1"/>
  <c r="G25" i="1"/>
  <c r="H24" i="1"/>
  <c r="G24" i="1"/>
  <c r="H23" i="1"/>
  <c r="G23" i="1"/>
  <c r="K22" i="1"/>
  <c r="J22" i="1"/>
  <c r="H22" i="1"/>
  <c r="G22" i="1"/>
  <c r="H21" i="1"/>
  <c r="G21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N22" i="1" s="1"/>
  <c r="M9" i="1"/>
  <c r="C41" i="1" l="1"/>
  <c r="C34" i="1"/>
  <c r="M22" i="1"/>
  <c r="E32" i="1"/>
  <c r="B8" i="8"/>
  <c r="D8" i="8" s="1"/>
  <c r="D34" i="1"/>
  <c r="E31" i="1"/>
  <c r="C6" i="8" s="1"/>
  <c r="D38" i="1"/>
  <c r="D41" i="1" s="1"/>
  <c r="D57" i="8"/>
  <c r="C7" i="8"/>
  <c r="C9" i="8" s="1"/>
  <c r="D56" i="8"/>
  <c r="R104" i="8"/>
  <c r="K8" i="5"/>
  <c r="C80" i="8"/>
  <c r="C19" i="4"/>
  <c r="D19" i="4" s="1"/>
  <c r="D80" i="8"/>
  <c r="C20" i="4"/>
  <c r="D20" i="4" s="1"/>
  <c r="F14" i="6"/>
  <c r="B55" i="8"/>
  <c r="D78" i="8"/>
  <c r="C83" i="8"/>
  <c r="K10" i="5"/>
  <c r="D83" i="8"/>
  <c r="K9" i="5"/>
  <c r="B7" i="8"/>
  <c r="C81" i="8"/>
  <c r="D81" i="8"/>
  <c r="C86" i="8"/>
  <c r="K6" i="5"/>
  <c r="K12" i="5" s="1"/>
  <c r="E34" i="1" l="1"/>
  <c r="F19" i="6"/>
  <c r="G19" i="6" s="1"/>
  <c r="G14" i="6"/>
  <c r="D7" i="8"/>
  <c r="B9" i="8"/>
  <c r="D55" i="8"/>
  <c r="B58" i="8"/>
  <c r="C57" i="8" l="1"/>
  <c r="C56" i="8"/>
  <c r="C55" i="8"/>
  <c r="A59" i="8" l="1"/>
  <c r="C58" i="8"/>
</calcChain>
</file>

<file path=xl/sharedStrings.xml><?xml version="1.0" encoding="utf-8"?>
<sst xmlns="http://schemas.openxmlformats.org/spreadsheetml/2006/main" count="698" uniqueCount="475">
  <si>
    <t>UNIVERSIDAD NACIONAL DE INGENIERÍA - FACULTAD DE INGENIERÍA CIVIL</t>
  </si>
  <si>
    <t>Código: CASA-TP-26</t>
  </si>
  <si>
    <t>MAESTRÍA EN GESTIÓN Y DIRECCIÓN DE EMPRESAS DE LA CONSTRUCCIÓN (DAC)</t>
  </si>
  <si>
    <t>Fecha: 23/10/2026</t>
  </si>
  <si>
    <t>TALLER N°07 · GESTIÓN ESTRATÉGICA DE PORTAFOLIOS DE PROYECTOS (CASA-TP-26 / GRUPO N°04)</t>
  </si>
  <si>
    <t>Versión: 01</t>
  </si>
  <si>
    <t>Página: 1 de 8</t>
  </si>
  <si>
    <t>TABLA 01: MATRIZ MAESTRA DE LOS 10 MEGAPROYECTOS DE CASA CONTRATISTAS (2026 - 2034)</t>
  </si>
  <si>
    <t>N°</t>
  </si>
  <si>
    <t>Código</t>
  </si>
  <si>
    <t>Nombre del Megaproyecto</t>
  </si>
  <si>
    <t>Macrorregión</t>
  </si>
  <si>
    <t>Categoría PMI</t>
  </si>
  <si>
    <t>Periodo Contractual</t>
  </si>
  <si>
    <t>Inversión (Soles)</t>
  </si>
  <si>
    <t>Inversión (USD M)</t>
  </si>
  <si>
    <t>Estatus Operativo</t>
  </si>
  <si>
    <t>TIR (%)</t>
  </si>
  <si>
    <t>VAN (S/ Millones)</t>
  </si>
  <si>
    <t>ROI Estimado</t>
  </si>
  <si>
    <t>Alineación (1-3)</t>
  </si>
  <si>
    <t>Riesgo (0-3)</t>
  </si>
  <si>
    <t>Sponsor / Entidad Mandante</t>
  </si>
  <si>
    <t>CASA-26-VIA-001</t>
  </si>
  <si>
    <t>Autopista del Sol (Trujillo - Sullana)</t>
  </si>
  <si>
    <t>Costa</t>
  </si>
  <si>
    <t>Estratégico</t>
  </si>
  <si>
    <t>2009 - 2034</t>
  </si>
  <si>
    <t>En Operación</t>
  </si>
  <si>
    <t>12 - 15%</t>
  </si>
  <si>
    <t>MTC / OSITRAN / COVISOL</t>
  </si>
  <si>
    <t>CASA-26-VIA-002</t>
  </si>
  <si>
    <t>Interoceánica Sur Tramo 5 (IIRSA Sur)</t>
  </si>
  <si>
    <t>Sierra</t>
  </si>
  <si>
    <t>2007 - 2022</t>
  </si>
  <si>
    <t>Concluido</t>
  </si>
  <si>
    <t>11 - 14%</t>
  </si>
  <si>
    <t>MTC / Provías Nacional</t>
  </si>
  <si>
    <t>CASA-26-VIA-003</t>
  </si>
  <si>
    <t>Red Vial N.º 6 (Pucusana - Ica)</t>
  </si>
  <si>
    <t>2006 - 2031</t>
  </si>
  <si>
    <t>13 - 16%</t>
  </si>
  <si>
    <t>MTC / OSITRAN / COVIPERÚ</t>
  </si>
  <si>
    <t>CASA-26-VIA-004</t>
  </si>
  <si>
    <t>Segunda Calzada Puno - Juliaca</t>
  </si>
  <si>
    <t>2015 - 2029</t>
  </si>
  <si>
    <t>En Ejecución</t>
  </si>
  <si>
    <t>9 - 12%</t>
  </si>
  <si>
    <t>CASA-26-POR-005</t>
  </si>
  <si>
    <t>Terminal Portuario Yurimaguas (Nueva Presencia)</t>
  </si>
  <si>
    <t>Selva</t>
  </si>
  <si>
    <t>2011 - 2041</t>
  </si>
  <si>
    <t>10 - 13%</t>
  </si>
  <si>
    <t>APN / COPAM / MTC</t>
  </si>
  <si>
    <t>CASA-26-HID-006</t>
  </si>
  <si>
    <t>Obras de Irrigación Amojao (10,000 ha)</t>
  </si>
  <si>
    <t>Sostenibilidad</t>
  </si>
  <si>
    <t>2016 - 2028</t>
  </si>
  <si>
    <t>8 - 11%</t>
  </si>
  <si>
    <t>MINAGRI / PEJSIB</t>
  </si>
  <si>
    <t>CASA-26-VIA-007</t>
  </si>
  <si>
    <t>Red Vial Huallaga (Tocache - Tingo María)</t>
  </si>
  <si>
    <t>Táctico</t>
  </si>
  <si>
    <t>2017 - 2022</t>
  </si>
  <si>
    <t>Provías Nacional</t>
  </si>
  <si>
    <t>CASA-26-VIA-008</t>
  </si>
  <si>
    <t>Conservación Pampa Pejerrey</t>
  </si>
  <si>
    <t>2018 - 2021</t>
  </si>
  <si>
    <t>11 - 13%</t>
  </si>
  <si>
    <t>Provías Zonal Ica-Huancavelica</t>
  </si>
  <si>
    <t>CASA-26-HID-009</t>
  </si>
  <si>
    <t>Presa Poechos (Cuenco Amortiguador)</t>
  </si>
  <si>
    <t>2019 - 2021</t>
  </si>
  <si>
    <t>10 - 12%</t>
  </si>
  <si>
    <t>Gob. Reg. Piura / PECHP</t>
  </si>
  <si>
    <t>CASA-26-SAN-010</t>
  </si>
  <si>
    <t>Agua Potable y PTAP Piura - Castilla</t>
  </si>
  <si>
    <t>2021 - 2023</t>
  </si>
  <si>
    <t>7 - 10%</t>
  </si>
  <si>
    <t>MVCS / EPS Grau</t>
  </si>
  <si>
    <t>CÁLCULOS ESTADÍSTICOS CONSOLIDADOS DEL PORTAFOLIO</t>
  </si>
  <si>
    <t>Total Inversión Consolidada (Soles)</t>
  </si>
  <si>
    <t>Suma Total</t>
  </si>
  <si>
    <t>Promedio Aritmético por Proyecto</t>
  </si>
  <si>
    <t>Media</t>
  </si>
  <si>
    <t>Mediana del Presupuesto</t>
  </si>
  <si>
    <t>Desviación Estándar (muestral)</t>
  </si>
  <si>
    <t>Inversión Mínima</t>
  </si>
  <si>
    <t>Inversión Máxima</t>
  </si>
  <si>
    <t>Total VAN Acumulado (S/ M)</t>
  </si>
  <si>
    <t>DISTRIBUCIÓN POR CATEGORÍA ESTRATÉGICA</t>
  </si>
  <si>
    <t>Categoría</t>
  </si>
  <si>
    <t>Cantidad Proyectos</t>
  </si>
  <si>
    <t>Fórmula Conteo</t>
  </si>
  <si>
    <t>Inversión Total (S/)</t>
  </si>
  <si>
    <t>% Presupuesto</t>
  </si>
  <si>
    <t>TOTAL</t>
  </si>
  <si>
    <t>DISTRIBUCIÓN POR MACRORREGIÓN</t>
  </si>
  <si>
    <t>Región Geográfica</t>
  </si>
  <si>
    <t>Cantidad</t>
  </si>
  <si>
    <t>% Participación</t>
  </si>
  <si>
    <t>MÓDULO 03 / TALLER 07: MATRIZ DE ALINEACIÓN ESTRATÉGICA DETALLADA</t>
  </si>
  <si>
    <t>METODOLOGÍA DE EVALUACIÓN MULTICRITERIO PONDERADA (ESCALA: 1 = NO CONTRIBUYE, 2 = CONTRIBUCIÓN MEDIA &lt;50%, 3 = CONTRIBUCIÓN ALTA &gt;50%)</t>
  </si>
  <si>
    <t>FÓRMULA EXCEL DE ALINEACIÓN PONDERADA: =SUMPRODUCT(PESOS, NOTAS) / SUM(PESOS)</t>
  </si>
  <si>
    <t>Página: 2 de 8</t>
  </si>
  <si>
    <t>ID</t>
  </si>
  <si>
    <t>Peso (W)</t>
  </si>
  <si>
    <t>Objetivo Estratégico Corporativo CASA</t>
  </si>
  <si>
    <t>P1 Autopista</t>
  </si>
  <si>
    <t>P2 IIRSA T5</t>
  </si>
  <si>
    <t>P3 Red Vial 6</t>
  </si>
  <si>
    <t>P4 Puno-Jul</t>
  </si>
  <si>
    <t>P5 Yurimag</t>
  </si>
  <si>
    <t>P6 Amojao</t>
  </si>
  <si>
    <t>P7 Huallaga</t>
  </si>
  <si>
    <t>P8 Pejerrey</t>
  </si>
  <si>
    <t>P9 Poechos</t>
  </si>
  <si>
    <t>P10 Piura-Cast</t>
  </si>
  <si>
    <t>OE-01</t>
  </si>
  <si>
    <t>Generar utilidades sostenibles y flujo de caja recurrente</t>
  </si>
  <si>
    <t>OE-02</t>
  </si>
  <si>
    <t>Incrementar capacidad productiva e infraestructura mayor</t>
  </si>
  <si>
    <t>OE-03</t>
  </si>
  <si>
    <t>Reducir costos operativos mediante economías de escala</t>
  </si>
  <si>
    <t>OE-04</t>
  </si>
  <si>
    <t>Diversificar presencia en mercados regionales e intermodales</t>
  </si>
  <si>
    <t>OE-05</t>
  </si>
  <si>
    <t>Remediación ambiental y sostenibilidad de cuencas hídricas</t>
  </si>
  <si>
    <t>OE-06</t>
  </si>
  <si>
    <t>Minimizar impacto ambiental en zonas naturales protegidas</t>
  </si>
  <si>
    <t>OE-07</t>
  </si>
  <si>
    <t>Organización ágil y respuesta inmediata ante emergencias</t>
  </si>
  <si>
    <t>OE-08</t>
  </si>
  <si>
    <t>Eficiencia en producción y gestión de maquinaria pesada</t>
  </si>
  <si>
    <t>OE-09</t>
  </si>
  <si>
    <t>Plan de seguridad y salud en el trabajo (cero fatalidades)</t>
  </si>
  <si>
    <t>OE-10</t>
  </si>
  <si>
    <t>Contratación efectiva de mano de obra local calificada</t>
  </si>
  <si>
    <t>OE-11</t>
  </si>
  <si>
    <t>Conducta ética certificada bajo norma antisoborno ISO 37001</t>
  </si>
  <si>
    <t>OE-12</t>
  </si>
  <si>
    <t>Organización transparente y auditoría abierta con comunidades</t>
  </si>
  <si>
    <t>OE-13</t>
  </si>
  <si>
    <t>Capacitación continua y escuela de operadores de equipo pesado</t>
  </si>
  <si>
    <t>OE-14</t>
  </si>
  <si>
    <t>Oportunidades de ascenso y bienestar social a los colaboradores</t>
  </si>
  <si>
    <t>TOTAL PESO</t>
  </si>
  <si>
    <t>PUNTAJE PONDERADO FINAL (0 - 3.00)</t>
  </si>
  <si>
    <t>FÓRMULA EXACTA</t>
  </si>
  <si>
    <t>Cálculo dinámico en Excel:</t>
  </si>
  <si>
    <t>RANKING ALINEACIÓN</t>
  </si>
  <si>
    <t>ESTADÍSTICAS DEL SCORE DE ALINEACIÓN</t>
  </si>
  <si>
    <t>Promedio del Portafolio</t>
  </si>
  <si>
    <t>Puntaje Máximo</t>
  </si>
  <si>
    <t>Puntaje Mínimo</t>
  </si>
  <si>
    <t>Desviación Estándar</t>
  </si>
  <si>
    <t>Leyenda</t>
  </si>
  <si>
    <t>No contribuye</t>
  </si>
  <si>
    <t>Contribución &lt; 50% del objetivo</t>
  </si>
  <si>
    <t>Contribución &gt; 50% del objetivo</t>
  </si>
  <si>
    <t>MÓDULO 04: EVALUACIÓN DE RIESGOS DEL PORTAFOLIO CASA</t>
  </si>
  <si>
    <t>MATRIZ PROBABILIDAD × IMPACTO Y PLAN DE RESPUESTA OPERACIONAL</t>
  </si>
  <si>
    <t>ESCALA: BAJA = 1, MEDIA = 2, ALTA = 3. SEVERIDAD = PROBABILIDAD * IMPACTO (1 A 9)</t>
  </si>
  <si>
    <t>NIVEL DE RIESGO: CRÍTICO = SEVERIDAD 9 · ALTO = SEVERIDAD 6 · MEDIO = SEVERIDAD ≤ 5</t>
  </si>
  <si>
    <t>Página: 3 de 8</t>
  </si>
  <si>
    <t>ID Riesgo</t>
  </si>
  <si>
    <t>Título del Riesgo</t>
  </si>
  <si>
    <t>Causa Raíz y Efecto en Portafolio</t>
  </si>
  <si>
    <t>Origen</t>
  </si>
  <si>
    <t>Probabilidad (P)</t>
  </si>
  <si>
    <t>Impacto (I)</t>
  </si>
  <si>
    <t>Severidad (P × I)</t>
  </si>
  <si>
    <t>Nivel de Riesgo</t>
  </si>
  <si>
    <t>Responsable Designado</t>
  </si>
  <si>
    <t>Estrategia de Mitigación Validada</t>
  </si>
  <si>
    <t>Proyectos Afectados</t>
  </si>
  <si>
    <t>R1</t>
  </si>
  <si>
    <t>Disponibilidad Financiera y Aprobaciones MTC</t>
  </si>
  <si>
    <t>Cambio de prioridades presupuestales del Estado retrasa transferencias de CRPAO y adendas.</t>
  </si>
  <si>
    <t>Externo</t>
  </si>
  <si>
    <t>Gerente de Portafolio / Concesiones</t>
  </si>
  <si>
    <t>Estructuración de fideicomisos con banca privada; revisión quincenal de cuentas de fideicomiso.</t>
  </si>
  <si>
    <t>P1, P3, P4</t>
  </si>
  <si>
    <t>R2</t>
  </si>
  <si>
    <t>Inflación de Insumos Críticos de Construcción</t>
  </si>
  <si>
    <t>Incremento sostenido en asfalto modificado, acero corrugado y combustible genera sobrecostos.</t>
  </si>
  <si>
    <t>Gerencia de Costos y Abastecimiento</t>
  </si>
  <si>
    <t>Fórmula polinómica con índices INEI; compras mayoristas anticipadas y cobertura de precios.</t>
  </si>
  <si>
    <t>P1, P2, P3, P4, P6</t>
  </si>
  <si>
    <t>R3</t>
  </si>
  <si>
    <t>Retrasos en Liberación de Predios e Interferencias</t>
  </si>
  <si>
    <t>Expropiaciones y saneamiento físico-legal demoran entrega de frentes de obra (Caracoto, Trujillo).</t>
  </si>
  <si>
    <t>Gerencia Legal &amp; Gestión Predial</t>
  </si>
  <si>
    <t>Equipo especializado de saneamiento predial directo y convenios de trato directo con propietarios.</t>
  </si>
  <si>
    <t>P1, P4, P6</t>
  </si>
  <si>
    <t>R4</t>
  </si>
  <si>
    <t>Conflictos Sociales y Relacionamiento Comunitario</t>
  </si>
  <si>
    <t>Bloqueos y demandas de comunidades locales colindantes paralizan frentes de obra.</t>
  </si>
  <si>
    <t>Gerencia de Gestión Social y RSE</t>
  </si>
  <si>
    <t>Mesas de diálogo permanentes, contratación de mano de obra local y proyectos sociales comunitarios.</t>
  </si>
  <si>
    <t>P2, P4, P6</t>
  </si>
  <si>
    <t>R5</t>
  </si>
  <si>
    <t>Clima Extremo (Fenómeno El Niño y Huaicos)</t>
  </si>
  <si>
    <t>Lluvias torrenciales en el norte o nevadas en el altiplano destruyen accesos y desbordan ríos.</t>
  </si>
  <si>
    <t>Gerencia de Obra / SSOMA</t>
  </si>
  <si>
    <t>Obras de drenaje sobredimensionadas, maquinaria pesada de contingencia y seguros CAR todo riesgo.</t>
  </si>
  <si>
    <t>P1, P2, P6, P9</t>
  </si>
  <si>
    <t>R6</t>
  </si>
  <si>
    <t>Sobrecarga de Equipos Clave y Residentes</t>
  </si>
  <si>
    <t>Simultaneidad de frentes de trabajo satura a los ingenieros residentes y maquinaria especializada.</t>
  </si>
  <si>
    <t>Interno</t>
  </si>
  <si>
    <t>Gerencia de Operaciones</t>
  </si>
  <si>
    <t>Balance de carga de horas-hombre; escalonamiento de inicios y contratación de 2 residentes adicionales.</t>
  </si>
  <si>
    <t>P1, P2, P3, P4</t>
  </si>
  <si>
    <t>R7</t>
  </si>
  <si>
    <t>Seguridad Operacional en Frentes Remotos</t>
  </si>
  <si>
    <t>Trabajos de alta montaña a más de 4,500 msnm o selva aumentan riesgo de incidentes de tránsito.</t>
  </si>
  <si>
    <t>Jefatura SSOMA</t>
  </si>
  <si>
    <t>Auditorías de campo semanales, telemetría de velocidad GPS y capacitación en manejo defensivo.</t>
  </si>
  <si>
    <t>P2, P5, P6</t>
  </si>
  <si>
    <t>R8</t>
  </si>
  <si>
    <t>Interrupciones en la Cadena de Suministro</t>
  </si>
  <si>
    <t>Dificultad de abastecimiento de cemento y explosivos en zonas aisladas de selva o puna.</t>
  </si>
  <si>
    <t>Gerencia de Logística</t>
  </si>
  <si>
    <t>Almacenes de contingencia con stock para 45 días y proveedores alternativos homologados.</t>
  </si>
  <si>
    <t>TABLA DE EXPOSICIÓN AL RIESGO POR PROYECTO (0 - 3.0)</t>
  </si>
  <si>
    <t>Proyecto</t>
  </si>
  <si>
    <t>Score Riesgo</t>
  </si>
  <si>
    <t>Categoría Riesgo</t>
  </si>
  <si>
    <t>Justificación de Severidad</t>
  </si>
  <si>
    <t>Autopista del Sol</t>
  </si>
  <si>
    <t>Alto</t>
  </si>
  <si>
    <t>Exposición a predios no liberados y fenómeno El Niño costero</t>
  </si>
  <si>
    <t>Interoceánica Sur T5</t>
  </si>
  <si>
    <t>Crítico</t>
  </si>
  <si>
    <t>Ruta a gran altitud (&gt;4,500 msnm), clima severo e inflación de asfalto</t>
  </si>
  <si>
    <t>Red Vial N.º 6</t>
  </si>
  <si>
    <t>Tráfico pesado intenso, mantenimiento preventivo de puentes</t>
  </si>
  <si>
    <t>Puno - Juliaca</t>
  </si>
  <si>
    <t>Medio-Alto</t>
  </si>
  <si>
    <t>Interferencias urbanas en Caracoto y conflictos sociales altiplánicos</t>
  </si>
  <si>
    <t>Terminal Yurimaguas</t>
  </si>
  <si>
    <t>Variabilidad del caudal del río Huallaga e interconexión fluvial</t>
  </si>
  <si>
    <t>Irrigación Amojao</t>
  </si>
  <si>
    <t>Excavación de túneles en roca deleznable y lluvias en selva alta</t>
  </si>
  <si>
    <t>Red Vial Huallaga</t>
  </si>
  <si>
    <t>Medio</t>
  </si>
  <si>
    <t>Riesgo de deslizamientos en época de lluvias</t>
  </si>
  <si>
    <t>Pampa Pejerrey</t>
  </si>
  <si>
    <t>Bajo-Medio</t>
  </si>
  <si>
    <t>Trabajos rutinarios de conservación vial</t>
  </si>
  <si>
    <t>Presa Poechos</t>
  </si>
  <si>
    <t>Gestión de descargas hídricas durante la construcción</t>
  </si>
  <si>
    <t>Agua Potable Piura</t>
  </si>
  <si>
    <t>Bajo</t>
  </si>
  <si>
    <t>Interferencias con redes existentes en zonas urbanas</t>
  </si>
  <si>
    <t>Promedio Riesgo Portafolio</t>
  </si>
  <si>
    <t>MÓDULO 07: SELECCIÓN Y PRIORIZACIÓN DEL PORTAFOLIO</t>
  </si>
  <si>
    <t>MODELO DE SCORING PONDERADO MULTICRITERIO - RESOLUCIÓN DEL COMITÉ</t>
  </si>
  <si>
    <t>REGLA DE DECISIÓN: SCORE &gt;= 2.00 (SELECCIONADO) | 1.50 &lt;= SCORE &lt; 2.00 (CONDICIONADO) | SCORE &lt; 1.50 (DIFERIDO)</t>
  </si>
  <si>
    <t>Página: 4 de 8</t>
  </si>
  <si>
    <t>Alineación (AE 30%)</t>
  </si>
  <si>
    <t>Impacto Cliente (Cli 10%)</t>
  </si>
  <si>
    <t>Estándares ISO (Est 10%)</t>
  </si>
  <si>
    <t>Riesgo Controlado (Rsk 20%)</t>
  </si>
  <si>
    <t>Rentabilidad ROI (ROI 20%)</t>
  </si>
  <si>
    <t>Viabilidad Costo (Cst 10%)</t>
  </si>
  <si>
    <t>Score Ponderado Final</t>
  </si>
  <si>
    <t>Resolución Comité</t>
  </si>
  <si>
    <t>Ranking Prioridad</t>
  </si>
  <si>
    <t>Horizonte Contractual</t>
  </si>
  <si>
    <t>PESOS</t>
  </si>
  <si>
    <t>25 años (Largo)</t>
  </si>
  <si>
    <t>Largo plazo</t>
  </si>
  <si>
    <t>Segunda Calzada Puno-Juliaca</t>
  </si>
  <si>
    <t>Mediano plazo</t>
  </si>
  <si>
    <t>Terminal Portuario Yurimaguas</t>
  </si>
  <si>
    <t>Obras de Irrigación Amojao</t>
  </si>
  <si>
    <t>Conservación P. Pejerrey</t>
  </si>
  <si>
    <t>Corto plazo</t>
  </si>
  <si>
    <t>Presa Poechos (Cuenco)</t>
  </si>
  <si>
    <t>Agua Potable Piura-Castilla</t>
  </si>
  <si>
    <t>RESUMEN DE DICTAMEN DEL COMITÉ</t>
  </si>
  <si>
    <t>Proyectos Seleccionados (&gt;= 2.00)</t>
  </si>
  <si>
    <t>Proyectos Condicionados (1.50 - 1.99)</t>
  </si>
  <si>
    <t>Proyectos Diferidos (&lt; 1.50)</t>
  </si>
  <si>
    <t>MÓDULO 07: MATRIZ DE COMPARACIÓN POR PARES AHP (TOP 6 PROYECTOS)</t>
  </si>
  <si>
    <t>MÉTODO DE JERARQUÍA ANALÍTICA (SAATY) / DOMINANCIA BINARIA</t>
  </si>
  <si>
    <t>CRITERIO: 1 = PROYECTO FILA DOMINA O TIENE MAYOR PRIORIDAD QUE COLUMNA, 0 = CASO CONTRARIO</t>
  </si>
  <si>
    <t>Página: 5 de 8</t>
  </si>
  <si>
    <t>A. Sol</t>
  </si>
  <si>
    <t>B. IIRSA</t>
  </si>
  <si>
    <t>C. RV6</t>
  </si>
  <si>
    <t>D. Puno-Jul</t>
  </si>
  <si>
    <t>E. Yurimag</t>
  </si>
  <si>
    <t>F. Amojao</t>
  </si>
  <si>
    <t>Total Dominancia</t>
  </si>
  <si>
    <t>Prioridad Relativa</t>
  </si>
  <si>
    <t>Vector Normalizado</t>
  </si>
  <si>
    <t>A</t>
  </si>
  <si>
    <t>P1 (Prioridad 1)</t>
  </si>
  <si>
    <t>B</t>
  </si>
  <si>
    <t>P2 (Prioridad 2)</t>
  </si>
  <si>
    <t>C</t>
  </si>
  <si>
    <t>P3 (Prioridad 3)</t>
  </si>
  <si>
    <t>D</t>
  </si>
  <si>
    <t>P4 (Prioridad 4)</t>
  </si>
  <si>
    <t>E</t>
  </si>
  <si>
    <t>P5 (Prioridad 5)</t>
  </si>
  <si>
    <t>F</t>
  </si>
  <si>
    <t>P6 (Prioridad 6)</t>
  </si>
  <si>
    <t>MÓDULO 08: GESTIÓN DE RECURSOS HUMANOS Y BALANCE DE CAPACIDAD (HH)</t>
  </si>
  <si>
    <t>Código: CASA-TP-26  ·  Versión: 01</t>
  </si>
  <si>
    <t>SUPUESTO METODOLÓGICO: 132 HORAS PRODUCTIVAS EFECTIVAS / PERSONA-MES ((8H - 2H INDIRECTAS) × 22 DÍAS LABORABLES)</t>
  </si>
  <si>
    <t>Página: 6 de 8</t>
  </si>
  <si>
    <t>TABLA 01: DISPONIBILIDAD POR PERFIL PROFESIONAL</t>
  </si>
  <si>
    <t>Perfil Profesional</t>
  </si>
  <si>
    <t>Tipo Dotación</t>
  </si>
  <si>
    <t>Jornada (h/día)</t>
  </si>
  <si>
    <t>Horas Efectivas/día</t>
  </si>
  <si>
    <t>Horas-Hombre / Mes</t>
  </si>
  <si>
    <t>Gerentes Senior</t>
  </si>
  <si>
    <t>Administrativo</t>
  </si>
  <si>
    <t>Ingeniería &amp; Campo</t>
  </si>
  <si>
    <t>Especialistas SSOMA</t>
  </si>
  <si>
    <t>QA / QC Calidad</t>
  </si>
  <si>
    <t>Días laborables por mes (supuesto de la nota de arriba)</t>
  </si>
  <si>
    <t>TABLA 02: BALANCE DE CAPACIDAD VS DEMANDA (DOTACIÓN DE 25 PROFESIONALES)</t>
  </si>
  <si>
    <t>Rol Técnico de Obra</t>
  </si>
  <si>
    <t>N° Personas</t>
  </si>
  <si>
    <t>Horas/Mes por Persona</t>
  </si>
  <si>
    <t>Capacidad Disp. (h/mes)</t>
  </si>
  <si>
    <t>Demanda Operativa (h/mes)</t>
  </si>
  <si>
    <t>Brecha Operativa (h/mes)</t>
  </si>
  <si>
    <t>Estado de Capacidad</t>
  </si>
  <si>
    <t>Residente de Obra</t>
  </si>
  <si>
    <t>Planificación y Control</t>
  </si>
  <si>
    <t>Costos y Valorizaciones</t>
  </si>
  <si>
    <t>Gestión Social y Ambiental</t>
  </si>
  <si>
    <t>TOTALES CONSOLIDADOS</t>
  </si>
  <si>
    <t>ANÁLISIS COMPARATIVO DE ESCENARIOS DE DEMANDA VS CAPACIDAD</t>
  </si>
  <si>
    <t>Escenario Analizado</t>
  </si>
  <si>
    <t>Demanda Horas (h/mes)</t>
  </si>
  <si>
    <t>Capacidad Horas (h/mes)</t>
  </si>
  <si>
    <t>Déficit / Superávit (h/mes)</t>
  </si>
  <si>
    <t>Diagnóstico Operativo</t>
  </si>
  <si>
    <t>Escenario 1: Solo P1-P3 (Concesiones)</t>
  </si>
  <si>
    <t>Déficit masivo sin contratación externa</t>
  </si>
  <si>
    <t>Escenario 2: Todos los 10 Proyectos</t>
  </si>
  <si>
    <t>Inviable con la dotación actual</t>
  </si>
  <si>
    <t>Escenario 3: Solo Estratégicos (P1-P5)</t>
  </si>
  <si>
    <t>Requiere tercerización de frentes</t>
  </si>
  <si>
    <t>Capacidad Balanceada Recomendada</t>
  </si>
  <si>
    <t>Equilibrio 100% mediante +2 Residentes y +1 SSOMA</t>
  </si>
  <si>
    <t>MÓDULO 09: PLAN MAESTRO DEL PORTAFOLIO Y CRONOGRAMA GANTT 2026 - 2034</t>
  </si>
  <si>
    <t>CRONOGRAMA DE EJECUCIÓN, CONCESIONES Y GOBERNANZA</t>
  </si>
  <si>
    <t>Página: 7 de 8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</si>
  <si>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</si>
  <si>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</si>
  <si>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</si>
  <si>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</si>
  <si>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</si>
  <si>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</si>
  <si>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</si>
  <si>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</si>
  <si>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</si>
  <si>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Hito Principal de Cierre</t>
  </si>
  <si>
    <t>Operación</t>
  </si>
  <si>
    <t>Reversión MTC</t>
  </si>
  <si>
    <t>Transferencia Concesión 25 Años</t>
  </si>
  <si>
    <t>Liquidado</t>
  </si>
  <si>
    <t>Garantía</t>
  </si>
  <si>
    <t>-</t>
  </si>
  <si>
    <t>Acta de Recepción Provías</t>
  </si>
  <si>
    <t>Reversión</t>
  </si>
  <si>
    <t>Cierre Contractual COVIPERÚ</t>
  </si>
  <si>
    <t>Construcción</t>
  </si>
  <si>
    <t>Entrega 19km</t>
  </si>
  <si>
    <t>Entrega 50km</t>
  </si>
  <si>
    <t>Culminación Segunda Calzada</t>
  </si>
  <si>
    <t>Concesión 30 Años APN</t>
  </si>
  <si>
    <t>Túnel Chiriaco</t>
  </si>
  <si>
    <t>Canal Principal</t>
  </si>
  <si>
    <t>Entrega 10kha</t>
  </si>
  <si>
    <t>Liquidación</t>
  </si>
  <si>
    <t>Acta Entrega Juntas de Usuarios</t>
  </si>
  <si>
    <t>Cumplimiento Niveles de Servicio</t>
  </si>
  <si>
    <t>Acta de Conformidad Provías</t>
  </si>
  <si>
    <t>Protección Hídrica Piura</t>
  </si>
  <si>
    <t>Servicio Continuo 250k hab.</t>
  </si>
  <si>
    <t>HITOS PRINCIPALES DE GOBERNANZA</t>
  </si>
  <si>
    <t>Año</t>
  </si>
  <si>
    <t>Hito Contractual / Operativo</t>
  </si>
  <si>
    <t>Proyecto Afectado</t>
  </si>
  <si>
    <t>Entidad / Responsable</t>
  </si>
  <si>
    <t>Entregable Validado</t>
  </si>
  <si>
    <t>Autorización Formal del Portafolio y Asignación de Recursos</t>
  </si>
  <si>
    <t>Todos los 10</t>
  </si>
  <si>
    <t>Comité de Inversiones / Directorio CASA</t>
  </si>
  <si>
    <t>Acta de Aprobación de Carta Fundacional</t>
  </si>
  <si>
    <t>Inicio Fase de Construcción Irrigación Amojao II - III</t>
  </si>
  <si>
    <t>Gerencia de Irrigación CASA / PEJSIB</t>
  </si>
  <si>
    <t>Expediente Técnico Aprobado MINAGRI</t>
  </si>
  <si>
    <t>Entrega de 19 km de Segunda Calzada Puno - Juliaca</t>
  </si>
  <si>
    <t>P4 Puno-Juliaca</t>
  </si>
  <si>
    <t>Gerencia Zonal Sur CASA</t>
  </si>
  <si>
    <t>Tramo Asfaltado Operativo y Señalizado</t>
  </si>
  <si>
    <t>Culminación Integral Amojao - 10,000 ha Irrigadas</t>
  </si>
  <si>
    <t>PEJSIB / CASA Contratistas</t>
  </si>
  <si>
    <t>Acta de Entrega a Juntas de Usuarios</t>
  </si>
  <si>
    <t>Finalización de los 50 km Segunda Calzada Puno-Juliaca</t>
  </si>
  <si>
    <t>Acta de Recepción Provías Nacional</t>
  </si>
  <si>
    <t>Cierre y Reversión de Concesión Red Vial N.º 6</t>
  </si>
  <si>
    <t>Gerencia de Concesiones / COVIPERÚ</t>
  </si>
  <si>
    <t>Transferencia Contractual MTC / OSITRAN</t>
  </si>
  <si>
    <t>Fin de Concesión Autopista del Sol (25 Años)</t>
  </si>
  <si>
    <t>P1 Autopista del Sol</t>
  </si>
  <si>
    <t>Gerencia General CASA / COVISOL</t>
  </si>
  <si>
    <t>Transferencia Definitiva al Estado Peruano</t>
  </si>
  <si>
    <t>MÓDULO DE SOPORTE: SERIES Y DATOS DE TODOS LOS GRÁFICOS ESTADÍSTICOS</t>
  </si>
  <si>
    <t>ESTA HOJA CONTIENE LAS TABLAS EXACTAS UTILIZADAS POR CHART.JS EN LA APLICACIÓN WEB</t>
  </si>
  <si>
    <t>Página: 8 de 8</t>
  </si>
  <si>
    <t>GALERÍA DE GRÁFICOS ESTADÍSTICOS (VINCULADOS A LAS TABLAS DE ESTA HOJA)</t>
  </si>
  <si>
    <t>GRÁFICO 01: INVERSIÓN TOTAL POR CATEGORÍA (BARRAS Y TORTA)</t>
  </si>
  <si>
    <t>Inversión (S/ Millones)</t>
  </si>
  <si>
    <t>Etiqueta del gráfico</t>
  </si>
  <si>
    <t>Estratégicos</t>
  </si>
  <si>
    <t>Tácticos</t>
  </si>
  <si>
    <t>GRÁFICO 02: PUNTAJE DE ALINEACIÓN ESTRATÉGICA POR PROYECTO (BARRAS)</t>
  </si>
  <si>
    <t>Puntaje Ponderado (1 - 3.00)</t>
  </si>
  <si>
    <t>P2 Interoceánica T5</t>
  </si>
  <si>
    <t>P3 Red Vial N°6</t>
  </si>
  <si>
    <t>P5 TP Yurimaguas</t>
  </si>
  <si>
    <t>P6 Irrigación Amojao</t>
  </si>
  <si>
    <t>P7 Red Vial Huallaga</t>
  </si>
  <si>
    <t>P8 Conservación Pejerrey</t>
  </si>
  <si>
    <t>P9 Presa Poechos</t>
  </si>
  <si>
    <t>P10 Agua Potable Piura</t>
  </si>
  <si>
    <t>GRÁFICO 03: PERFIL MULTICRITERIO RADAR (TOP 4 PROYECTOS)</t>
  </si>
  <si>
    <t>Dimensión Evaluada</t>
  </si>
  <si>
    <t>Alineación Estratégica</t>
  </si>
  <si>
    <t>Riesgo Controlado</t>
  </si>
  <si>
    <t>ROI / Retorno Financiero</t>
  </si>
  <si>
    <t>Costo / Presupuesto</t>
  </si>
  <si>
    <t>Impacto en Cliente / Estado</t>
  </si>
  <si>
    <t>Estándares / Calidad ISO</t>
  </si>
  <si>
    <t>GRÁFICO 04: DISPERSIÓN SCATTER (ALINEACIÓN VS EXPOSICIÓN AL RIESGO)</t>
  </si>
  <si>
    <t>Coordenada X (Alineación)</t>
  </si>
  <si>
    <t>Coordenada Y (Riesgo)</t>
  </si>
  <si>
    <t>P2 Interoceánica Sur T5</t>
  </si>
  <si>
    <t>P3 Red Vial N.º 6</t>
  </si>
  <si>
    <t>P4 Segunda Calzada Puno-Juliaca</t>
  </si>
  <si>
    <t>P5 Terminal Portuario Yurimaguas</t>
  </si>
  <si>
    <t>P6 Obras de Irrigación Amojao</t>
  </si>
  <si>
    <t>P8 Conservación P. Pejerrey</t>
  </si>
  <si>
    <t>P9 Presa Poechos (Cuenco)</t>
  </si>
  <si>
    <t>P10 Agua Potable Piura-Castilla</t>
  </si>
  <si>
    <t>GRÁFICO 05: DEMANDA VS CAPACIDAD HORAS-HOMBRE POR ESCENARIOS</t>
  </si>
  <si>
    <t>Escenario</t>
  </si>
  <si>
    <t>Escenario 1: Solo P1-P3</t>
  </si>
  <si>
    <t>Escenario 2: Todos los 10</t>
  </si>
  <si>
    <t>Escenario 3: Solo Estratégicos</t>
  </si>
  <si>
    <t>GRÁFICO 06: DISTRIBUCIÓN POR CATEGORÍA - CANTIDAD DE PROYECTOS (DONA)</t>
  </si>
  <si>
    <t>N° Proyectos</t>
  </si>
  <si>
    <t>GRÁFICO 07: DESAGREGADO DE PONDERACIÓN POR CRITERIOS (TOP 4 DIMENSIONES)</t>
  </si>
  <si>
    <t>GRÁFICO 08: NIVEL DE EXPOSICIÓN AL RIESGO POR OBRA (COLOR SEGÚN NIVEL)</t>
  </si>
  <si>
    <t>Umbral Alto / Crítico (≥)</t>
  </si>
  <si>
    <t>Supuesto: umbrales definidos para colorear el gráfico (rojo / naranja / verde); editar si el comité usa otros.</t>
  </si>
  <si>
    <t>Umbral Medio (≥)</t>
  </si>
  <si>
    <t>MATRIZ DE CALOR PROBABILIDAD × IMPACTO</t>
  </si>
  <si>
    <t>Prob. \ Imp.</t>
  </si>
  <si>
    <t>Alta</t>
  </si>
  <si>
    <t>Baja</t>
  </si>
  <si>
    <t>Filas = Probabilidad (Alta=3, Media=2, Baja=1); columnas = Impacto (Bajo=1, Medio=2, Alto=3). Los códigos se leen de la hoja 03.</t>
  </si>
  <si>
    <t>DOCENTE: ING. ALFONSO NÚÑEZ, MBA, PMP® · ALUMNOS: GRUPO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</si>
</sst>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#,##0.0"/>
    <numFmt numFmtId="167" formatCode="0.0%;[Red]\-0.0%"/>
    <numFmt numFmtId="168" formatCode="0.00;\-0.00;\-"/>
  </numFmts>
  <fonts count="21" x14ac:knownFonts="1">
    <font>
      <sz val="12"/>
      <color theme="1"/>
      <name val="Calibri"/>
      <family val="2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4"/>
      <color rgb="FF000000"/>
      <name val="Arial"/>
      <charset val="1"/>
    </font>
    <font>
      <b/>
      <sz val="10"/>
      <color rgb="FF1F3864"/>
      <name val="Arial"/>
      <charset val="1"/>
    </font>
    <font>
      <i/>
      <sz val="9"/>
      <color rgb="FF404040"/>
      <name val="Arial"/>
      <charset val="1"/>
    </font>
    <font>
      <i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2"/>
      <color rgb="FFFFFFFF"/>
      <name val="Arial"/>
      <charset val="1"/>
    </font>
    <font>
      <i/>
      <sz val="10"/>
      <color rgb="FF404040"/>
      <name val="Arial"/>
      <charset val="1"/>
    </font>
    <font>
      <b/>
      <sz val="11"/>
      <color rgb="FF0000FF"/>
      <name val="Arial"/>
      <charset val="1"/>
    </font>
    <font>
      <b/>
      <sz val="11"/>
      <color rgb="FF1F3864"/>
      <name val="Arial"/>
      <charset val="1"/>
    </font>
    <font>
      <b/>
      <sz val="14"/>
      <color rgb="FF1F3864"/>
      <name val="Arial"/>
      <charset val="1"/>
    </font>
    <font>
      <b/>
      <sz val="12"/>
      <color rgb="FF1F3864"/>
      <name val="Arial"/>
      <charset val="1"/>
    </font>
    <font>
      <i/>
      <sz val="8"/>
      <color rgb="FF595959"/>
      <name val="Arial"/>
      <charset val="1"/>
    </font>
    <font>
      <b/>
      <sz val="10"/>
      <color rgb="FF7F0000"/>
      <name val="Arial"/>
      <family val="2"/>
    </font>
    <font>
      <b/>
      <sz val="10"/>
      <color rgb="FF0000CC"/>
      <name val="Arial"/>
      <family val="2"/>
    </font>
    <font>
      <b/>
      <sz val="10"/>
      <color rgb="FF0061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8EA9DB"/>
        <bgColor rgb="FF9BC2E6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C000"/>
      </patternFill>
    </fill>
    <fill>
      <patternFill patternType="solid">
        <fgColor rgb="FF9BC2E6"/>
        <bgColor rgb="FF8EA9DB"/>
      </patternFill>
    </fill>
    <fill>
      <patternFill patternType="solid">
        <fgColor rgb="FFDDEBF7"/>
        <bgColor rgb="FFD9E1F2"/>
      </patternFill>
    </fill>
    <fill>
      <patternFill patternType="solid">
        <fgColor rgb="FFD8E4BC"/>
        <bgColor rgb="FFC6E0B4"/>
      </patternFill>
    </fill>
    <fill>
      <patternFill patternType="solid">
        <fgColor rgb="FF92D050"/>
        <bgColor rgb="FF70AD47"/>
      </patternFill>
    </fill>
    <fill>
      <patternFill patternType="solid">
        <fgColor rgb="FFFF0000"/>
        <bgColor rgb="FF800000"/>
      </patternFill>
    </fill>
    <fill>
      <patternFill patternType="solid">
        <fgColor rgb="FFBFBFBF"/>
        <bgColor rgb="FFC9B8E8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3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 indent="1"/>
    </xf>
    <xf numFmtId="2" fontId="3" fillId="0" borderId="2" xfId="0" applyNumberFormat="1" applyFont="1" applyBorder="1" applyAlignment="1">
      <alignment horizontal="center" vertical="center" wrapText="1"/>
    </xf>
    <xf numFmtId="0" fontId="9" fillId="7" borderId="2" xfId="0" applyFont="1" applyFill="1" applyBorder="1" applyAlignment="1">
      <alignment horizontal="right" vertical="center" indent="1"/>
    </xf>
    <xf numFmtId="2" fontId="2" fillId="7" borderId="2" xfId="0" applyNumberFormat="1" applyFont="1" applyFill="1" applyBorder="1" applyAlignment="1">
      <alignment horizontal="center" vertical="center" wrapText="1"/>
    </xf>
    <xf numFmtId="1" fontId="4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9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 indent="1"/>
    </xf>
    <xf numFmtId="0" fontId="10" fillId="9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166" fontId="4" fillId="0" borderId="2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 indent="1"/>
    </xf>
    <xf numFmtId="0" fontId="13" fillId="5" borderId="2" xfId="0" applyFont="1" applyFill="1" applyBorder="1" applyAlignment="1">
      <alignment horizontal="center" vertical="center" wrapText="1"/>
    </xf>
    <xf numFmtId="38" fontId="4" fillId="0" borderId="2" xfId="0" applyNumberFormat="1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38" fontId="4" fillId="6" borderId="2" xfId="0" applyNumberFormat="1" applyFont="1" applyFill="1" applyBorder="1" applyAlignment="1">
      <alignment horizontal="center" vertical="center" wrapText="1"/>
    </xf>
    <xf numFmtId="167" fontId="4" fillId="6" borderId="2" xfId="0" applyNumberFormat="1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 indent="1"/>
    </xf>
    <xf numFmtId="166" fontId="4" fillId="6" borderId="2" xfId="0" applyNumberFormat="1" applyFont="1" applyFill="1" applyBorder="1" applyAlignment="1">
      <alignment horizontal="center" vertical="center" wrapText="1"/>
    </xf>
    <xf numFmtId="10" fontId="4" fillId="6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left" vertical="center" wrapText="1" indent="1"/>
    </xf>
    <xf numFmtId="1" fontId="4" fillId="0" borderId="2" xfId="0" applyNumberFormat="1" applyFont="1" applyBorder="1" applyAlignment="1">
      <alignment horizontal="left" vertical="center" wrapText="1" indent="1"/>
    </xf>
    <xf numFmtId="1" fontId="2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left" vertical="center" wrapText="1" indent="1"/>
    </xf>
    <xf numFmtId="9" fontId="2" fillId="0" borderId="2" xfId="0" applyNumberFormat="1" applyFont="1" applyBorder="1" applyAlignment="1">
      <alignment horizontal="center" vertical="center" wrapText="1"/>
    </xf>
    <xf numFmtId="9" fontId="4" fillId="6" borderId="2" xfId="0" applyNumberFormat="1" applyFont="1" applyFill="1" applyBorder="1" applyAlignment="1">
      <alignment horizontal="center" vertical="center" wrapText="1"/>
    </xf>
    <xf numFmtId="2" fontId="13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168" fontId="4" fillId="0" borderId="2" xfId="0" applyNumberFormat="1" applyFont="1" applyBorder="1" applyAlignment="1">
      <alignment horizontal="left" vertical="center" wrapText="1" indent="1"/>
    </xf>
    <xf numFmtId="168" fontId="2" fillId="0" borderId="2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7">
    <dxf>
      <font>
        <b/>
        <color rgb="FF7F7F7F"/>
        <name val="Arial"/>
        <charset val="1"/>
      </font>
      <fill>
        <patternFill>
          <bgColor rgb="FFEDEDED"/>
        </patternFill>
      </fill>
    </dxf>
    <dxf>
      <font>
        <b/>
        <color rgb="FF000000"/>
        <name val="Arial"/>
        <charset val="1"/>
      </font>
      <fill>
        <patternFill>
          <bgColor rgb="FFC9B8E8"/>
        </patternFill>
      </fill>
    </dxf>
    <dxf>
      <font>
        <b/>
        <color rgb="FF000000"/>
        <name val="Arial"/>
        <charset val="1"/>
      </font>
      <fill>
        <patternFill>
          <bgColor rgb="FF8EA9DB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name val="Arial"/>
        <charset val="1"/>
      </font>
      <fill>
        <patternFill>
          <bgColor rgb="FFC6E0B4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C6E0B4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E699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FF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FFFFFF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0000"/>
        </patternFill>
      </fill>
    </dxf>
    <dxf>
      <font>
        <b/>
        <color rgb="FF000000"/>
        <name val="Arial"/>
        <charset val="1"/>
      </font>
      <fill>
        <patternFill>
          <bgColor rgb="FFFFC000"/>
        </patternFill>
      </fill>
    </dxf>
    <dxf>
      <font>
        <b/>
        <color rgb="FF000000"/>
        <name val="Arial"/>
        <charset val="1"/>
      </font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6100"/>
      <rgbColor rgb="FF000080"/>
      <rgbColor rgb="FF997300"/>
      <rgbColor rgb="FF800080"/>
      <rgbColor rgb="FF70AD47"/>
      <rgbColor rgb="FFBFBFBF"/>
      <rgbColor rgb="FF7F7F7F"/>
      <rgbColor rgb="FF8EA9DB"/>
      <rgbColor rgb="FF595959"/>
      <rgbColor rgb="FFFFF2CC"/>
      <rgbColor rgb="FFDDEBF7"/>
      <rgbColor rgb="FF660066"/>
      <rgbColor rgb="FFD9E1F2"/>
      <rgbColor rgb="FF0066CC"/>
      <rgbColor rgb="FFC9B8E8"/>
      <rgbColor rgb="FF000080"/>
      <rgbColor rgb="FFFF00FF"/>
      <rgbColor rgb="FFC6E0B4"/>
      <rgbColor rgb="FF00FFFF"/>
      <rgbColor rgb="FF800080"/>
      <rgbColor rgb="FF800000"/>
      <rgbColor rgb="FF008080"/>
      <rgbColor rgb="FF0000CC"/>
      <rgbColor rgb="FF00CCFF"/>
      <rgbColor rgb="FFEDEDED"/>
      <rgbColor rgb="FFE2EFDA"/>
      <rgbColor rgb="FFFFE699"/>
      <rgbColor rgb="FF9BC2E6"/>
      <rgbColor rgb="FFD9D9D9"/>
      <rgbColor rgb="FFA5A5A5"/>
      <rgbColor rgb="FFD8E4BC"/>
      <rgbColor rgb="FF4472C4"/>
      <rgbColor rgb="FF5B9BD5"/>
      <rgbColor rgb="FF92D050"/>
      <rgbColor rgb="FFFFC000"/>
      <rgbColor rgb="FFFF9900"/>
      <rgbColor rgb="FFED7D31"/>
      <rgbColor rgb="FF636363"/>
      <rgbColor rgb="FF878787"/>
      <rgbColor rgb="FF1F3864"/>
      <rgbColor rgb="FF4F81BD"/>
      <rgbColor rgb="FF003300"/>
      <rgbColor rgb="FF333300"/>
      <rgbColor rgb="FF9E480E"/>
      <rgbColor rgb="FF993366"/>
      <rgbColor rgb="FF2644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PE" sz="1100" b="1" strike="noStrike" spc="-1">
                <a:solidFill>
                  <a:srgbClr val="000000"/>
                </a:solidFill>
                <a:latin typeface="Arial"/>
              </a:rPr>
              <a:t>INVERSIÓN ACUMULADA POR CATEGORÍA (S/ MILLONES)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Inversión (S/ Millones)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4472C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A3C-4D22-81D5-9047DF7162DD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0"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A3C-4D22-81D5-9047DF7162D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A3C-4D22-81D5-9047DF7162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A3C-4D22-81D5-9047DF7162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A3C-4D22-81D5-9047DF7162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A3C-4D22-81D5-9047DF7162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'08_Estadisticas_Graficos'!$A$6:$A$8</c:f>
              <c:strCache>
                <c:ptCount val="3"/>
                <c:pt idx="0">
                  <c:v>Estratégicos</c:v>
                </c:pt>
                <c:pt idx="1">
                  <c:v>Sostenibilidad</c:v>
                </c:pt>
                <c:pt idx="2">
                  <c:v>Tácticos</c:v>
                </c:pt>
              </c:strCache>
            </c:strRef>
          </c:cat>
          <c:val>
            <c:numRef>
              <c:f>'08_Estadisticas_Graficos'!$B$6:$B$8</c:f>
              <c:numCache>
                <c:formatCode>#,##0.0</c:formatCode>
                <c:ptCount val="3"/>
                <c:pt idx="0">
                  <c:v>3230</c:v>
                </c:pt>
                <c:pt idx="1">
                  <c:v>362.27499999999998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3C-4D22-81D5-9047DF716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5338782"/>
        <c:axId val="95404477"/>
      </c:barChart>
      <c:catAx>
        <c:axId val="55338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95404477"/>
        <c:crosses val="autoZero"/>
        <c:auto val="1"/>
        <c:lblAlgn val="ctr"/>
        <c:lblOffset val="100"/>
        <c:noMultiLvlLbl val="0"/>
      </c:catAx>
      <c:valAx>
        <c:axId val="9540447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S/ Millones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55338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PE" sz="1100" b="1" strike="noStrike" spc="-1">
                <a:solidFill>
                  <a:srgbClr val="000000"/>
                </a:solidFill>
                <a:latin typeface="Arial"/>
              </a:rPr>
              <a:t>DISTRIBUCIÓN PORCENTUAL DEL PRESUPUESTO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Inversión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solidFill>
                  <a:srgbClr val="4472C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CE7-46C0-9DA4-A4D385C92BA2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0"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CE7-46C0-9DA4-A4D385C92BA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CE7-46C0-9DA4-A4D385C92BA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CE7-46C0-9DA4-A4D385C92BA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CE7-46C0-9DA4-A4D385C92BA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CE7-46C0-9DA4-A4D385C92B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'08_Estadisticas_Graficos'!$D$6:$D$8</c:f>
              <c:strCache>
                <c:ptCount val="3"/>
                <c:pt idx="0">
                  <c:v>Estratégicos (S/ 3,230 M)</c:v>
                </c:pt>
                <c:pt idx="1">
                  <c:v>Sostenibilidad (S/ 362 M)</c:v>
                </c:pt>
                <c:pt idx="2">
                  <c:v>Tácticos (S/ 42 M)</c:v>
                </c:pt>
              </c:strCache>
            </c:strRef>
          </c:cat>
          <c:val>
            <c:numRef>
              <c:f>'08_Estadisticas_Graficos'!$B$6:$B$8</c:f>
              <c:numCache>
                <c:formatCode>#,##0.0</c:formatCode>
                <c:ptCount val="3"/>
                <c:pt idx="0">
                  <c:v>3230</c:v>
                </c:pt>
                <c:pt idx="1">
                  <c:v>362.27499999999998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E7-46C0-9DA4-A4D385C92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PE" sz="1100" b="1" strike="noStrike" spc="-1">
                <a:solidFill>
                  <a:srgbClr val="000000"/>
                </a:solidFill>
                <a:latin typeface="Arial"/>
              </a:rPr>
              <a:t>PUNTAJE DE ALINEACIÓN PONDERADA POR PROYECTO (MÁXIMO: 3.00)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Puntaje ponderado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0">
                <a:solidFill>
                  <a:srgbClr val="4472C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577-4D67-B394-C5B46892F929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0">
                <a:solidFill>
                  <a:srgbClr val="ED7D3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577-4D67-B394-C5B46892F929}"/>
              </c:ext>
            </c:extLst>
          </c:dPt>
          <c:dPt>
            <c:idx val="2"/>
            <c:invertIfNegative val="0"/>
            <c:bubble3D val="0"/>
            <c:spPr>
              <a:solidFill>
                <a:srgbClr val="A5A5A5"/>
              </a:solidFill>
              <a:ln w="0">
                <a:solidFill>
                  <a:srgbClr val="A5A5A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577-4D67-B394-C5B46892F92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577-4D67-B394-C5B46892F929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/>
              </a:solidFill>
              <a:ln w="0">
                <a:solidFill>
                  <a:srgbClr val="5B9BD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577-4D67-B394-C5B46892F929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 w="0"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577-4D67-B394-C5B46892F929}"/>
              </c:ext>
            </c:extLst>
          </c:dPt>
          <c:dPt>
            <c:idx val="6"/>
            <c:invertIfNegative val="0"/>
            <c:bubble3D val="0"/>
            <c:spPr>
              <a:solidFill>
                <a:srgbClr val="264478"/>
              </a:solidFill>
              <a:ln w="0">
                <a:solidFill>
                  <a:srgbClr val="2644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577-4D67-B394-C5B46892F929}"/>
              </c:ext>
            </c:extLst>
          </c:dPt>
          <c:dPt>
            <c:idx val="7"/>
            <c:invertIfNegative val="0"/>
            <c:bubble3D val="0"/>
            <c:spPr>
              <a:solidFill>
                <a:srgbClr val="9E480E"/>
              </a:solidFill>
              <a:ln w="0">
                <a:solidFill>
                  <a:srgbClr val="9E480E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577-4D67-B394-C5B46892F929}"/>
              </c:ext>
            </c:extLst>
          </c:dPt>
          <c:dPt>
            <c:idx val="8"/>
            <c:invertIfNegative val="0"/>
            <c:bubble3D val="0"/>
            <c:spPr>
              <a:solidFill>
                <a:srgbClr val="636363"/>
              </a:solidFill>
              <a:ln w="0">
                <a:solidFill>
                  <a:srgbClr val="63636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9577-4D67-B394-C5B46892F929}"/>
              </c:ext>
            </c:extLst>
          </c:dPt>
          <c:dPt>
            <c:idx val="9"/>
            <c:invertIfNegative val="0"/>
            <c:bubble3D val="0"/>
            <c:spPr>
              <a:solidFill>
                <a:srgbClr val="997300"/>
              </a:solidFill>
              <a:ln w="0">
                <a:solidFill>
                  <a:srgbClr val="9973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577-4D67-B394-C5B46892F92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577-4D67-B394-C5B46892F92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577-4D67-B394-C5B46892F92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577-4D67-B394-C5B46892F92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577-4D67-B394-C5B46892F92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577-4D67-B394-C5B46892F92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577-4D67-B394-C5B46892F92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9577-4D67-B394-C5B46892F92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9577-4D67-B394-C5B46892F92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577-4D67-B394-C5B46892F92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577-4D67-B394-C5B46892F9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'08_Estadisticas_Graficos'!$A$13:$A$22</c:f>
              <c:strCache>
                <c:ptCount val="10"/>
                <c:pt idx="0">
                  <c:v>P1 Autopista del Sol</c:v>
                </c:pt>
                <c:pt idx="1">
                  <c:v>P2 Interoceánica T5</c:v>
                </c:pt>
                <c:pt idx="2">
                  <c:v>P3 Red Vial N°6</c:v>
                </c:pt>
                <c:pt idx="3">
                  <c:v>P4 Puno-Juliaca</c:v>
                </c:pt>
                <c:pt idx="4">
                  <c:v>P5 TP Yurimaguas</c:v>
                </c:pt>
                <c:pt idx="5">
                  <c:v>P6 Irrigación Amojao</c:v>
                </c:pt>
                <c:pt idx="6">
                  <c:v>P7 Red Vial Huallaga</c:v>
                </c:pt>
                <c:pt idx="7">
                  <c:v>P8 Conservación Pejerrey</c:v>
                </c:pt>
                <c:pt idx="8">
                  <c:v>P9 Presa Poechos</c:v>
                </c:pt>
                <c:pt idx="9">
                  <c:v>P10 Agua Potable Piura</c:v>
                </c:pt>
              </c:strCache>
            </c:strRef>
          </c:cat>
          <c:val>
            <c:numRef>
              <c:f>'08_Estadisticas_Graficos'!$B$13:$B$22</c:f>
              <c:numCache>
                <c:formatCode>0.00</c:formatCode>
                <c:ptCount val="10"/>
                <c:pt idx="0">
                  <c:v>2.6</c:v>
                </c:pt>
                <c:pt idx="1">
                  <c:v>2.38</c:v>
                </c:pt>
                <c:pt idx="2">
                  <c:v>2.48</c:v>
                </c:pt>
                <c:pt idx="3">
                  <c:v>2.23</c:v>
                </c:pt>
                <c:pt idx="4">
                  <c:v>2.15</c:v>
                </c:pt>
                <c:pt idx="5">
                  <c:v>2.15</c:v>
                </c:pt>
                <c:pt idx="6">
                  <c:v>2.15</c:v>
                </c:pt>
                <c:pt idx="7">
                  <c:v>2</c:v>
                </c:pt>
                <c:pt idx="8">
                  <c:v>2</c:v>
                </c:pt>
                <c:pt idx="9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577-4D67-B394-C5B46892F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2964392"/>
        <c:axId val="42711022"/>
      </c:barChart>
      <c:catAx>
        <c:axId val="42964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42711022"/>
        <c:crosses val="autoZero"/>
        <c:auto val="1"/>
        <c:lblAlgn val="ctr"/>
        <c:lblOffset val="100"/>
        <c:noMultiLvlLbl val="0"/>
      </c:catAx>
      <c:valAx>
        <c:axId val="42711022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Puntaje Ponderado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42964392"/>
        <c:crosses val="autoZero"/>
        <c:crossBetween val="between"/>
        <c:majorUnit val="0.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PE" sz="1100" b="1" strike="noStrike" spc="-1">
                <a:solidFill>
                  <a:srgbClr val="000000"/>
                </a:solidFill>
                <a:latin typeface="Arial"/>
              </a:rPr>
              <a:t>DISPERSIÓN: ALINEACIÓN VS. EXPOSICIÓN AL RIESGO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'08_Estadisticas_Graficos'!$A$35</c:f>
              <c:strCache>
                <c:ptCount val="1"/>
                <c:pt idx="0">
                  <c:v>P1 Autopista del Sol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'08_Estadisticas_Graficos'!$B$35</c:f>
              <c:numCache>
                <c:formatCode>0.00</c:formatCode>
                <c:ptCount val="1"/>
                <c:pt idx="0">
                  <c:v>2.6</c:v>
                </c:pt>
              </c:numCache>
            </c:numRef>
          </c:xVal>
          <c:yVal>
            <c:numRef>
              <c:f>'08_Estadisticas_Graficos'!$C$35</c:f>
              <c:numCache>
                <c:formatCode>0.00</c:formatCode>
                <c:ptCount val="1"/>
                <c:pt idx="0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07-4B88-8A61-0D4BE986E641}"/>
            </c:ext>
          </c:extLst>
        </c:ser>
        <c:ser>
          <c:idx val="1"/>
          <c:order val="1"/>
          <c:tx>
            <c:strRef>
              <c:f>'08_Estadisticas_Graficos'!$A$36</c:f>
              <c:strCache>
                <c:ptCount val="1"/>
                <c:pt idx="0">
                  <c:v>P2 Interoceánica Sur T5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'08_Estadisticas_Graficos'!$B$36</c:f>
              <c:numCache>
                <c:formatCode>0.00</c:formatCode>
                <c:ptCount val="1"/>
                <c:pt idx="0">
                  <c:v>2.38</c:v>
                </c:pt>
              </c:numCache>
            </c:numRef>
          </c:xVal>
          <c:yVal>
            <c:numRef>
              <c:f>'08_Estadisticas_Graficos'!$C$36</c:f>
              <c:numCache>
                <c:formatCode>0.00</c:formatCode>
                <c:ptCount val="1"/>
                <c:pt idx="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07-4B88-8A61-0D4BE986E641}"/>
            </c:ext>
          </c:extLst>
        </c:ser>
        <c:ser>
          <c:idx val="2"/>
          <c:order val="2"/>
          <c:tx>
            <c:strRef>
              <c:f>'08_Estadisticas_Graficos'!$A$37</c:f>
              <c:strCache>
                <c:ptCount val="1"/>
                <c:pt idx="0">
                  <c:v>P3 Red Vial N.º 6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'08_Estadisticas_Graficos'!$B$37</c:f>
              <c:numCache>
                <c:formatCode>0.00</c:formatCode>
                <c:ptCount val="1"/>
                <c:pt idx="0">
                  <c:v>2.48</c:v>
                </c:pt>
              </c:numCache>
            </c:numRef>
          </c:xVal>
          <c:yVal>
            <c:numRef>
              <c:f>'08_Estadisticas_Graficos'!$C$37</c:f>
              <c:numCache>
                <c:formatCode>0.00</c:formatCode>
                <c:ptCount val="1"/>
                <c:pt idx="0">
                  <c:v>1.85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07-4B88-8A61-0D4BE986E641}"/>
            </c:ext>
          </c:extLst>
        </c:ser>
        <c:ser>
          <c:idx val="3"/>
          <c:order val="3"/>
          <c:tx>
            <c:strRef>
              <c:f>'08_Estadisticas_Graficos'!$A$38</c:f>
              <c:strCache>
                <c:ptCount val="1"/>
                <c:pt idx="0">
                  <c:v>P4 Segunda Calzada Puno-Juliaca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'08_Estadisticas_Graficos'!$B$38</c:f>
              <c:numCache>
                <c:formatCode>0.00</c:formatCode>
                <c:ptCount val="1"/>
                <c:pt idx="0">
                  <c:v>2.23</c:v>
                </c:pt>
              </c:numCache>
            </c:numRef>
          </c:xVal>
          <c:yVal>
            <c:numRef>
              <c:f>'08_Estadisticas_Graficos'!$C$38</c:f>
              <c:numCache>
                <c:formatCode>0.00</c:formatCode>
                <c:ptCount val="1"/>
                <c:pt idx="0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07-4B88-8A61-0D4BE986E641}"/>
            </c:ext>
          </c:extLst>
        </c:ser>
        <c:ser>
          <c:idx val="4"/>
          <c:order val="4"/>
          <c:tx>
            <c:strRef>
              <c:f>'08_Estadisticas_Graficos'!$A$39</c:f>
              <c:strCache>
                <c:ptCount val="1"/>
                <c:pt idx="0">
                  <c:v>P5 Terminal Portuario Yurimaguas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'08_Estadisticas_Graficos'!$B$39</c:f>
              <c:numCache>
                <c:formatCode>0.00</c:formatCode>
                <c:ptCount val="1"/>
                <c:pt idx="0">
                  <c:v>2.15</c:v>
                </c:pt>
              </c:numCache>
            </c:numRef>
          </c:xVal>
          <c:yVal>
            <c:numRef>
              <c:f>'08_Estadisticas_Graficos'!$C$39</c:f>
              <c:numCache>
                <c:formatCode>0.00</c:formatCode>
                <c:ptCount val="1"/>
                <c:pt idx="0">
                  <c:v>1.95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07-4B88-8A61-0D4BE986E641}"/>
            </c:ext>
          </c:extLst>
        </c:ser>
        <c:ser>
          <c:idx val="5"/>
          <c:order val="5"/>
          <c:tx>
            <c:strRef>
              <c:f>'08_Estadisticas_Graficos'!$A$40</c:f>
              <c:strCache>
                <c:ptCount val="1"/>
                <c:pt idx="0">
                  <c:v>P6 Obras de Irrigación Amojao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'08_Estadisticas_Graficos'!$B$40</c:f>
              <c:numCache>
                <c:formatCode>0.00</c:formatCode>
                <c:ptCount val="1"/>
                <c:pt idx="0">
                  <c:v>2.15</c:v>
                </c:pt>
              </c:numCache>
            </c:numRef>
          </c:xVal>
          <c:yVal>
            <c:numRef>
              <c:f>'08_Estadisticas_Graficos'!$C$40</c:f>
              <c:numCache>
                <c:formatCode>0.00</c:formatCode>
                <c:ptCount val="1"/>
                <c:pt idx="0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07-4B88-8A61-0D4BE986E641}"/>
            </c:ext>
          </c:extLst>
        </c:ser>
        <c:ser>
          <c:idx val="6"/>
          <c:order val="6"/>
          <c:tx>
            <c:strRef>
              <c:f>'08_Estadisticas_Graficos'!$A$41</c:f>
              <c:strCache>
                <c:ptCount val="1"/>
                <c:pt idx="0">
                  <c:v>P7 Red Vial Huallaga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'08_Estadisticas_Graficos'!$B$41</c:f>
              <c:numCache>
                <c:formatCode>0.00</c:formatCode>
                <c:ptCount val="1"/>
                <c:pt idx="0">
                  <c:v>2.15</c:v>
                </c:pt>
              </c:numCache>
            </c:numRef>
          </c:xVal>
          <c:yVal>
            <c:numRef>
              <c:f>'08_Estadisticas_Graficos'!$C$41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07-4B88-8A61-0D4BE986E641}"/>
            </c:ext>
          </c:extLst>
        </c:ser>
        <c:ser>
          <c:idx val="7"/>
          <c:order val="7"/>
          <c:tx>
            <c:strRef>
              <c:f>'08_Estadisticas_Graficos'!$A$42</c:f>
              <c:strCache>
                <c:ptCount val="1"/>
                <c:pt idx="0">
                  <c:v>P8 Conservación P. Pejerrey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'08_Estadisticas_Graficos'!$B$42</c:f>
              <c:numCache>
                <c:formatCode>0.00</c:formatCode>
                <c:ptCount val="1"/>
                <c:pt idx="0">
                  <c:v>2</c:v>
                </c:pt>
              </c:numCache>
            </c:numRef>
          </c:xVal>
          <c:yVal>
            <c:numRef>
              <c:f>'08_Estadisticas_Graficos'!$C$42</c:f>
              <c:numCache>
                <c:formatCode>0.00</c:formatCode>
                <c:ptCount val="1"/>
                <c:pt idx="0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07-4B88-8A61-0D4BE986E641}"/>
            </c:ext>
          </c:extLst>
        </c:ser>
        <c:ser>
          <c:idx val="8"/>
          <c:order val="8"/>
          <c:tx>
            <c:strRef>
              <c:f>'08_Estadisticas_Graficos'!$A$43</c:f>
              <c:strCache>
                <c:ptCount val="1"/>
                <c:pt idx="0">
                  <c:v>P9 Presa Poechos (Cuenco)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'08_Estadisticas_Graficos'!$B$43</c:f>
              <c:numCache>
                <c:formatCode>0.00</c:formatCode>
                <c:ptCount val="1"/>
                <c:pt idx="0">
                  <c:v>2</c:v>
                </c:pt>
              </c:numCache>
            </c:numRef>
          </c:xVal>
          <c:yVal>
            <c:numRef>
              <c:f>'08_Estadisticas_Graficos'!$C$43</c:f>
              <c:numCache>
                <c:formatCode>0.00</c:formatCode>
                <c:ptCount val="1"/>
                <c:pt idx="0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07-4B88-8A61-0D4BE986E641}"/>
            </c:ext>
          </c:extLst>
        </c:ser>
        <c:ser>
          <c:idx val="9"/>
          <c:order val="9"/>
          <c:tx>
            <c:strRef>
              <c:f>'08_Estadisticas_Graficos'!$A$44</c:f>
              <c:strCache>
                <c:ptCount val="1"/>
                <c:pt idx="0">
                  <c:v>P10 Agua Potable Piura-Castilla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3"/>
            <c:spPr>
              <a:solidFill>
                <a:srgbClr val="997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'08_Estadisticas_Graficos'!$B$44</c:f>
              <c:numCache>
                <c:formatCode>0.00</c:formatCode>
                <c:ptCount val="1"/>
                <c:pt idx="0">
                  <c:v>1.92</c:v>
                </c:pt>
              </c:numCache>
            </c:numRef>
          </c:xVal>
          <c:yVal>
            <c:numRef>
              <c:f>'08_Estadisticas_Graficos'!$C$44</c:f>
              <c:numCache>
                <c:formatCode>0.00</c:formatCode>
                <c:ptCount val="1"/>
                <c:pt idx="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07-4B88-8A61-0D4BE986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3972"/>
        <c:axId val="97048530"/>
      </c:scatterChart>
      <c:valAx>
        <c:axId val="34523972"/>
        <c:scaling>
          <c:orientation val="minMax"/>
          <c:max val="2.8"/>
          <c:min val="1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Alineación Estratégica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97048530"/>
        <c:crosses val="autoZero"/>
        <c:crossBetween val="midCat"/>
      </c:valAx>
      <c:valAx>
        <c:axId val="97048530"/>
        <c:scaling>
          <c:orientation val="minMax"/>
          <c:max val="2.4"/>
          <c:min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Exposición al 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345239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lang="es-PE" sz="1100" b="1" strike="noStrike" spc="-1">
                <a:solidFill>
                  <a:srgbClr val="000000"/>
                </a:solidFill>
                <a:latin typeface="Arial"/>
              </a:rPr>
              <a:t>DESAGREGADO DE PONDERACIÓN POR CRITERIOS (TOP 4 DIMENSIONES)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'08_Estadisticas_Graficos'!$B$62</c:f>
              <c:strCache>
                <c:ptCount val="1"/>
                <c:pt idx="0">
                  <c:v>Alineación (30%)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'08_Estadisticas_Graficos'!$A$63:$A$72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Segunda Calzada Puno-Juliaca</c:v>
                </c:pt>
                <c:pt idx="4">
                  <c:v>P5 Terminal Portuario Yurimaguas</c:v>
                </c:pt>
                <c:pt idx="5">
                  <c:v>P6 Obras de Irrigación Amojao</c:v>
                </c:pt>
                <c:pt idx="6">
                  <c:v>P7 Red Vial Huallaga</c:v>
                </c:pt>
                <c:pt idx="7">
                  <c:v>P8 Conservación P. Pejerrey</c:v>
                </c:pt>
                <c:pt idx="8">
                  <c:v>P9 Presa Poechos (Cuenco)</c:v>
                </c:pt>
                <c:pt idx="9">
                  <c:v>P10 Agua Potable Piura-Castilla</c:v>
                </c:pt>
              </c:strCache>
            </c:strRef>
          </c:cat>
          <c:val>
            <c:numRef>
              <c:f>'08_Estadisticas_Graficos'!$B$63:$B$72</c:f>
              <c:numCache>
                <c:formatCode>0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1-47FD-9A2C-B0E140909CD3}"/>
            </c:ext>
          </c:extLst>
        </c:ser>
        <c:ser>
          <c:idx val="1"/>
          <c:order val="1"/>
          <c:tx>
            <c:strRef>
              <c:f>'08_Estadisticas_Graficos'!$C$62</c:f>
              <c:strCache>
                <c:ptCount val="1"/>
                <c:pt idx="0">
                  <c:v>Riesgo (20%)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'08_Estadisticas_Graficos'!$A$63:$A$72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Segunda Calzada Puno-Juliaca</c:v>
                </c:pt>
                <c:pt idx="4">
                  <c:v>P5 Terminal Portuario Yurimaguas</c:v>
                </c:pt>
                <c:pt idx="5">
                  <c:v>P6 Obras de Irrigación Amojao</c:v>
                </c:pt>
                <c:pt idx="6">
                  <c:v>P7 Red Vial Huallaga</c:v>
                </c:pt>
                <c:pt idx="7">
                  <c:v>P8 Conservación P. Pejerrey</c:v>
                </c:pt>
                <c:pt idx="8">
                  <c:v>P9 Presa Poechos (Cuenco)</c:v>
                </c:pt>
                <c:pt idx="9">
                  <c:v>P10 Agua Potable Piura-Castilla</c:v>
                </c:pt>
              </c:strCache>
            </c:strRef>
          </c:cat>
          <c:val>
            <c:numRef>
              <c:f>'08_Estadisticas_Graficos'!$C$63:$C$72</c:f>
              <c:numCache>
                <c:formatCode>0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1-47FD-9A2C-B0E140909CD3}"/>
            </c:ext>
          </c:extLst>
        </c:ser>
        <c:ser>
          <c:idx val="2"/>
          <c:order val="2"/>
          <c:tx>
            <c:strRef>
              <c:f>'08_Estadisticas_Graficos'!$D$62</c:f>
              <c:strCache>
                <c:ptCount val="1"/>
                <c:pt idx="0">
                  <c:v>ROI (20%)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'08_Estadisticas_Graficos'!$A$63:$A$72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Segunda Calzada Puno-Juliaca</c:v>
                </c:pt>
                <c:pt idx="4">
                  <c:v>P5 Terminal Portuario Yurimaguas</c:v>
                </c:pt>
                <c:pt idx="5">
                  <c:v>P6 Obras de Irrigación Amojao</c:v>
                </c:pt>
                <c:pt idx="6">
                  <c:v>P7 Red Vial Huallaga</c:v>
                </c:pt>
                <c:pt idx="7">
                  <c:v>P8 Conservación P. Pejerrey</c:v>
                </c:pt>
                <c:pt idx="8">
                  <c:v>P9 Presa Poechos (Cuenco)</c:v>
                </c:pt>
                <c:pt idx="9">
                  <c:v>P10 Agua Potable Piura-Castilla</c:v>
                </c:pt>
              </c:strCache>
            </c:strRef>
          </c:cat>
          <c:val>
            <c:numRef>
              <c:f>'08_Estadisticas_Graficos'!$D$63:$D$72</c:f>
              <c:numCache>
                <c:formatCode>0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1-47FD-9A2C-B0E140909CD3}"/>
            </c:ext>
          </c:extLst>
        </c:ser>
        <c:ser>
          <c:idx val="3"/>
          <c:order val="3"/>
          <c:tx>
            <c:strRef>
              <c:f>'08_Estadisticas_Graficos'!$E$62</c:f>
              <c:strCache>
                <c:ptCount val="1"/>
                <c:pt idx="0">
                  <c:v>Costo (10%)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'08_Estadisticas_Graficos'!$A$63:$A$72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Segunda Calzada Puno-Juliaca</c:v>
                </c:pt>
                <c:pt idx="4">
                  <c:v>P5 Terminal Portuario Yurimaguas</c:v>
                </c:pt>
                <c:pt idx="5">
                  <c:v>P6 Obras de Irrigación Amojao</c:v>
                </c:pt>
                <c:pt idx="6">
                  <c:v>P7 Red Vial Huallaga</c:v>
                </c:pt>
                <c:pt idx="7">
                  <c:v>P8 Conservación P. Pejerrey</c:v>
                </c:pt>
                <c:pt idx="8">
                  <c:v>P9 Presa Poechos (Cuenco)</c:v>
                </c:pt>
                <c:pt idx="9">
                  <c:v>P10 Agua Potable Piura-Castilla</c:v>
                </c:pt>
              </c:strCache>
            </c:strRef>
          </c:cat>
          <c:val>
            <c:numRef>
              <c:f>'08_Estadisticas_Graficos'!$E$63:$E$72</c:f>
              <c:numCache>
                <c:formatCode>0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41-47FD-9A2C-B0E140909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89141"/>
        <c:axId val="36526966"/>
      </c:barChart>
      <c:catAx>
        <c:axId val="1689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36526966"/>
        <c:crosses val="autoZero"/>
        <c:auto val="1"/>
        <c:lblAlgn val="ctr"/>
        <c:lblOffset val="100"/>
        <c:noMultiLvlLbl val="0"/>
      </c:catAx>
      <c:valAx>
        <c:axId val="36526966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1689141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sz="1100" b="1" strike="noStrike" spc="-1">
                <a:solidFill>
                  <a:srgbClr val="000000"/>
                </a:solidFill>
                <a:latin typeface="Arial"/>
              </a:rPr>
              <a:t>PERFIL MULTICRITERIO (RADAR DE COMPARACIÓN)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'08_Estadisticas_Graficos'!$B$25</c:f>
              <c:strCache>
                <c:ptCount val="1"/>
                <c:pt idx="0">
                  <c:v>P1 Autopista</c:v>
                </c:pt>
              </c:strCache>
            </c:strRef>
          </c:tx>
          <c:spPr>
            <a:ln w="2808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'08_Estadisticas_Graficos'!$A$26:$A$31</c:f>
              <c:strCache>
                <c:ptCount val="6"/>
                <c:pt idx="0">
                  <c:v>Alineación Estratégica</c:v>
                </c:pt>
                <c:pt idx="1">
                  <c:v>Riesgo Controlado</c:v>
                </c:pt>
                <c:pt idx="2">
                  <c:v>ROI / Retorno Financiero</c:v>
                </c:pt>
                <c:pt idx="3">
                  <c:v>Costo / Presupuesto</c:v>
                </c:pt>
                <c:pt idx="4">
                  <c:v>Impacto en Cliente / Estado</c:v>
                </c:pt>
                <c:pt idx="5">
                  <c:v>Estándares / Calidad ISO</c:v>
                </c:pt>
              </c:strCache>
            </c:strRef>
          </c:cat>
          <c:val>
            <c:numRef>
              <c:f>'08_Estadisticas_Graficos'!$B$26:$B$31</c:f>
              <c:numCache>
                <c:formatCode>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A-468E-A112-259EE8A7B3FC}"/>
            </c:ext>
          </c:extLst>
        </c:ser>
        <c:ser>
          <c:idx val="1"/>
          <c:order val="1"/>
          <c:tx>
            <c:strRef>
              <c:f>'08_Estadisticas_Graficos'!$C$25</c:f>
              <c:strCache>
                <c:ptCount val="1"/>
                <c:pt idx="0">
                  <c:v>P2 IIRSA T5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'08_Estadisticas_Graficos'!$A$26:$A$31</c:f>
              <c:strCache>
                <c:ptCount val="6"/>
                <c:pt idx="0">
                  <c:v>Alineación Estratégica</c:v>
                </c:pt>
                <c:pt idx="1">
                  <c:v>Riesgo Controlado</c:v>
                </c:pt>
                <c:pt idx="2">
                  <c:v>ROI / Retorno Financiero</c:v>
                </c:pt>
                <c:pt idx="3">
                  <c:v>Costo / Presupuesto</c:v>
                </c:pt>
                <c:pt idx="4">
                  <c:v>Impacto en Cliente / Estado</c:v>
                </c:pt>
                <c:pt idx="5">
                  <c:v>Estándares / Calidad ISO</c:v>
                </c:pt>
              </c:strCache>
            </c:strRef>
          </c:cat>
          <c:val>
            <c:numRef>
              <c:f>'08_Estadisticas_Graficos'!$C$26:$C$31</c:f>
              <c:numCache>
                <c:formatCode>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A-468E-A112-259EE8A7B3FC}"/>
            </c:ext>
          </c:extLst>
        </c:ser>
        <c:ser>
          <c:idx val="2"/>
          <c:order val="2"/>
          <c:tx>
            <c:strRef>
              <c:f>'08_Estadisticas_Graficos'!$D$25</c:f>
              <c:strCache>
                <c:ptCount val="1"/>
                <c:pt idx="0">
                  <c:v>P3 Red Vial 6</c:v>
                </c:pt>
              </c:strCache>
            </c:strRef>
          </c:tx>
          <c:spPr>
            <a:ln w="28080">
              <a:solidFill>
                <a:srgbClr val="FFC000"/>
              </a:solidFill>
              <a:round/>
            </a:ln>
          </c:spPr>
          <c:marker>
            <c:symbol val="circle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'08_Estadisticas_Graficos'!$A$26:$A$31</c:f>
              <c:strCache>
                <c:ptCount val="6"/>
                <c:pt idx="0">
                  <c:v>Alineación Estratégica</c:v>
                </c:pt>
                <c:pt idx="1">
                  <c:v>Riesgo Controlado</c:v>
                </c:pt>
                <c:pt idx="2">
                  <c:v>ROI / Retorno Financiero</c:v>
                </c:pt>
                <c:pt idx="3">
                  <c:v>Costo / Presupuesto</c:v>
                </c:pt>
                <c:pt idx="4">
                  <c:v>Impacto en Cliente / Estado</c:v>
                </c:pt>
                <c:pt idx="5">
                  <c:v>Estándares / Calidad ISO</c:v>
                </c:pt>
              </c:strCache>
            </c:strRef>
          </c:cat>
          <c:val>
            <c:numRef>
              <c:f>'08_Estadisticas_Graficos'!$D$26:$D$31</c:f>
              <c:numCache>
                <c:formatCode>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DA-468E-A112-259EE8A7B3FC}"/>
            </c:ext>
          </c:extLst>
        </c:ser>
        <c:ser>
          <c:idx val="3"/>
          <c:order val="3"/>
          <c:tx>
            <c:strRef>
              <c:f>'08_Estadisticas_Graficos'!$E$25</c:f>
              <c:strCache>
                <c:ptCount val="1"/>
                <c:pt idx="0">
                  <c:v>P6 Amojao</c:v>
                </c:pt>
              </c:strCache>
            </c:strRef>
          </c:tx>
          <c:spPr>
            <a:ln w="2808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'08_Estadisticas_Graficos'!$A$26:$A$31</c:f>
              <c:strCache>
                <c:ptCount val="6"/>
                <c:pt idx="0">
                  <c:v>Alineación Estratégica</c:v>
                </c:pt>
                <c:pt idx="1">
                  <c:v>Riesgo Controlado</c:v>
                </c:pt>
                <c:pt idx="2">
                  <c:v>ROI / Retorno Financiero</c:v>
                </c:pt>
                <c:pt idx="3">
                  <c:v>Costo / Presupuesto</c:v>
                </c:pt>
                <c:pt idx="4">
                  <c:v>Impacto en Cliente / Estado</c:v>
                </c:pt>
                <c:pt idx="5">
                  <c:v>Estándares / Calidad ISO</c:v>
                </c:pt>
              </c:strCache>
            </c:strRef>
          </c:cat>
          <c:val>
            <c:numRef>
              <c:f>'08_Estadisticas_Graficos'!$E$26:$E$31</c:f>
              <c:numCache>
                <c:formatCode>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DA-468E-A112-259EE8A7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2028"/>
        <c:axId val="92686792"/>
      </c:radarChart>
      <c:catAx>
        <c:axId val="501820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92686792"/>
        <c:crosses val="autoZero"/>
        <c:auto val="1"/>
        <c:lblAlgn val="ctr"/>
        <c:lblOffset val="100"/>
        <c:noMultiLvlLbl val="0"/>
      </c:catAx>
      <c:valAx>
        <c:axId val="92686792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50182028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sz="1100" b="1" strike="noStrike" spc="-1">
                <a:solidFill>
                  <a:srgbClr val="000000"/>
                </a:solidFill>
                <a:latin typeface="Arial"/>
              </a:rPr>
              <a:t>NIVEL DE EXPOSICIÓN AL RIESGO POR OBRA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'08_Estadisticas_Graficos'!$C$77</c:f>
              <c:strCache>
                <c:ptCount val="1"/>
                <c:pt idx="0">
                  <c:v>Alto / Crítico (≥ 1.85)</c:v>
                </c:pt>
              </c:strCache>
            </c:strRef>
          </c:tx>
          <c:spPr>
            <a:solidFill>
              <a:srgbClr val="FF0000"/>
            </a:solidFill>
            <a:ln w="0">
              <a:solidFill>
                <a:srgbClr val="FF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'08_Estadisticas_Graficos'!$A$78:$A$87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Puno - Juliaca</c:v>
                </c:pt>
                <c:pt idx="4">
                  <c:v>P5 Terminal Yurimaguas</c:v>
                </c:pt>
                <c:pt idx="5">
                  <c:v>P6 Irrigación Amojao</c:v>
                </c:pt>
                <c:pt idx="6">
                  <c:v>P7 Red Vial Huallaga</c:v>
                </c:pt>
                <c:pt idx="7">
                  <c:v>P8 Pampa Pejerrey</c:v>
                </c:pt>
                <c:pt idx="8">
                  <c:v>P9 Presa Poechos</c:v>
                </c:pt>
                <c:pt idx="9">
                  <c:v>P10 Agua Potable Piura</c:v>
                </c:pt>
              </c:strCache>
            </c:strRef>
          </c:cat>
          <c:val>
            <c:numRef>
              <c:f>'08_Estadisticas_Graficos'!$C$78:$C$87</c:f>
              <c:numCache>
                <c:formatCode>0.00;\-0.00;\-</c:formatCode>
                <c:ptCount val="10"/>
                <c:pt idx="0">
                  <c:v>1.9</c:v>
                </c:pt>
                <c:pt idx="1">
                  <c:v>2.1</c:v>
                </c:pt>
                <c:pt idx="2">
                  <c:v>1.85</c:v>
                </c:pt>
                <c:pt idx="3">
                  <c:v>0</c:v>
                </c:pt>
                <c:pt idx="4">
                  <c:v>1.95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D-4B7D-8510-1487729A71B2}"/>
            </c:ext>
          </c:extLst>
        </c:ser>
        <c:ser>
          <c:idx val="1"/>
          <c:order val="1"/>
          <c:tx>
            <c:strRef>
              <c:f>'08_Estadisticas_Graficos'!$D$77</c:f>
              <c:strCache>
                <c:ptCount val="1"/>
                <c:pt idx="0">
                  <c:v>Medio (≥ 1.50)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'08_Estadisticas_Graficos'!$A$78:$A$87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Puno - Juliaca</c:v>
                </c:pt>
                <c:pt idx="4">
                  <c:v>P5 Terminal Yurimaguas</c:v>
                </c:pt>
                <c:pt idx="5">
                  <c:v>P6 Irrigación Amojao</c:v>
                </c:pt>
                <c:pt idx="6">
                  <c:v>P7 Red Vial Huallaga</c:v>
                </c:pt>
                <c:pt idx="7">
                  <c:v>P8 Pampa Pejerrey</c:v>
                </c:pt>
                <c:pt idx="8">
                  <c:v>P9 Presa Poechos</c:v>
                </c:pt>
                <c:pt idx="9">
                  <c:v>P10 Agua Potable Piura</c:v>
                </c:pt>
              </c:strCache>
            </c:strRef>
          </c:cat>
          <c:val>
            <c:numRef>
              <c:f>'08_Estadisticas_Graficos'!$D$78:$D$87</c:f>
              <c:numCache>
                <c:formatCode>0.00;\-0.00;\-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1.6</c:v>
                </c:pt>
                <c:pt idx="4">
                  <c:v>0</c:v>
                </c:pt>
                <c:pt idx="5">
                  <c:v>1.75</c:v>
                </c:pt>
                <c:pt idx="6">
                  <c:v>1.5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D-4B7D-8510-1487729A71B2}"/>
            </c:ext>
          </c:extLst>
        </c:ser>
        <c:ser>
          <c:idx val="2"/>
          <c:order val="2"/>
          <c:tx>
            <c:strRef>
              <c:f>'08_Estadisticas_Graficos'!$E$77</c:f>
              <c:strCache>
                <c:ptCount val="1"/>
                <c:pt idx="0">
                  <c:v>Bajo (&lt; 1.50)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92D05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'08_Estadisticas_Graficos'!$A$78:$A$87</c:f>
              <c:strCache>
                <c:ptCount val="10"/>
                <c:pt idx="0">
                  <c:v>P1 Autopista del Sol</c:v>
                </c:pt>
                <c:pt idx="1">
                  <c:v>P2 Interoceánica Sur T5</c:v>
                </c:pt>
                <c:pt idx="2">
                  <c:v>P3 Red Vial N.º 6</c:v>
                </c:pt>
                <c:pt idx="3">
                  <c:v>P4 Puno - Juliaca</c:v>
                </c:pt>
                <c:pt idx="4">
                  <c:v>P5 Terminal Yurimaguas</c:v>
                </c:pt>
                <c:pt idx="5">
                  <c:v>P6 Irrigación Amojao</c:v>
                </c:pt>
                <c:pt idx="6">
                  <c:v>P7 Red Vial Huallaga</c:v>
                </c:pt>
                <c:pt idx="7">
                  <c:v>P8 Pampa Pejerrey</c:v>
                </c:pt>
                <c:pt idx="8">
                  <c:v>P9 Presa Poechos</c:v>
                </c:pt>
                <c:pt idx="9">
                  <c:v>P10 Agua Potable Piura</c:v>
                </c:pt>
              </c:strCache>
            </c:strRef>
          </c:cat>
          <c:val>
            <c:numRef>
              <c:f>'08_Estadisticas_Graficos'!$E$78:$E$87</c:f>
              <c:numCache>
                <c:formatCode>0.00;\-0.00;\-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</c:v>
                </c:pt>
                <c:pt idx="8">
                  <c:v>1.4</c:v>
                </c:pt>
                <c:pt idx="9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0D-4B7D-8510-1487729A7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548117"/>
        <c:axId val="94288289"/>
      </c:barChart>
      <c:catAx>
        <c:axId val="6548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94288289"/>
        <c:crosses val="autoZero"/>
        <c:auto val="1"/>
        <c:lblAlgn val="ctr"/>
        <c:lblOffset val="100"/>
        <c:noMultiLvlLbl val="0"/>
      </c:catAx>
      <c:valAx>
        <c:axId val="94288289"/>
        <c:scaling>
          <c:orientation val="minMax"/>
          <c:max val="2.5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Índice de Exposición al 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6548117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sz="1100" b="1" strike="noStrike" spc="-1">
                <a:solidFill>
                  <a:srgbClr val="000000"/>
                </a:solidFill>
                <a:latin typeface="Arial"/>
              </a:rPr>
              <a:t>DISTRIBUCIÓN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Proyectos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solidFill>
                  <a:srgbClr val="4472C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A57-422E-837F-B098A73A6D4C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0"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A57-422E-837F-B098A73A6D4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A57-422E-837F-B098A73A6D4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A57-422E-837F-B098A73A6D4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A57-422E-837F-B098A73A6D4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PE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A57-422E-837F-B098A73A6D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'08_Estadisticas_Graficos'!$D$55:$D$57</c:f>
              <c:strCache>
                <c:ptCount val="3"/>
                <c:pt idx="0">
                  <c:v>Estratégicos (5)</c:v>
                </c:pt>
                <c:pt idx="1">
                  <c:v>Sostenibilidad (3)</c:v>
                </c:pt>
                <c:pt idx="2">
                  <c:v>Tácticos (2)</c:v>
                </c:pt>
              </c:strCache>
            </c:strRef>
          </c:cat>
          <c:val>
            <c:numRef>
              <c:f>'08_Estadisticas_Graficos'!$B$55:$B$57</c:f>
              <c:numCache>
                <c:formatCode>0</c:formatCode>
                <c:ptCount val="3"/>
                <c:pt idx="0">
                  <c:v>5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57-422E-837F-B098A73A6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00000"/>
                </a:solidFill>
                <a:latin typeface="Arial"/>
              </a:defRPr>
            </a:pPr>
            <a:r>
              <a:rPr sz="1100" b="1" strike="noStrike" spc="-1">
                <a:solidFill>
                  <a:srgbClr val="000000"/>
                </a:solidFill>
                <a:latin typeface="Arial"/>
              </a:rPr>
              <a:t>DEMANDA VS CAPACIDAD HORAS-HOMBRE POR ESCENARIOS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'08_Estadisticas_Graficos'!$B$47</c:f>
              <c:strCache>
                <c:ptCount val="1"/>
                <c:pt idx="0">
                  <c:v>Demanda Horas (h/mes)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'08_Estadisticas_Graficos'!$A$48:$A$51</c:f>
              <c:strCache>
                <c:ptCount val="4"/>
                <c:pt idx="0">
                  <c:v>Escenario 1: Solo P1-P3</c:v>
                </c:pt>
                <c:pt idx="1">
                  <c:v>Escenario 2: Todos los 10</c:v>
                </c:pt>
                <c:pt idx="2">
                  <c:v>Escenario 3: Solo Estratégicos</c:v>
                </c:pt>
                <c:pt idx="3">
                  <c:v>Capacidad Balanceada Recomendada</c:v>
                </c:pt>
              </c:strCache>
            </c:strRef>
          </c:cat>
          <c:val>
            <c:numRef>
              <c:f>'08_Estadisticas_Graficos'!$B$48:$B$51</c:f>
              <c:numCache>
                <c:formatCode>#,##0</c:formatCode>
                <c:ptCount val="4"/>
                <c:pt idx="0">
                  <c:v>4389</c:v>
                </c:pt>
                <c:pt idx="1">
                  <c:v>8046</c:v>
                </c:pt>
                <c:pt idx="2">
                  <c:v>5852</c:v>
                </c:pt>
                <c:pt idx="3">
                  <c:v>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B-4D7F-B68D-8B08A98AF98B}"/>
            </c:ext>
          </c:extLst>
        </c:ser>
        <c:ser>
          <c:idx val="1"/>
          <c:order val="1"/>
          <c:tx>
            <c:strRef>
              <c:f>'08_Estadisticas_Graficos'!$C$47</c:f>
              <c:strCache>
                <c:ptCount val="1"/>
                <c:pt idx="0">
                  <c:v>Capacidad Horas (h/mes)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4472C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'08_Estadisticas_Graficos'!$A$48:$A$51</c:f>
              <c:strCache>
                <c:ptCount val="4"/>
                <c:pt idx="0">
                  <c:v>Escenario 1: Solo P1-P3</c:v>
                </c:pt>
                <c:pt idx="1">
                  <c:v>Escenario 2: Todos los 10</c:v>
                </c:pt>
                <c:pt idx="2">
                  <c:v>Escenario 3: Solo Estratégicos</c:v>
                </c:pt>
                <c:pt idx="3">
                  <c:v>Capacidad Balanceada Recomendada</c:v>
                </c:pt>
              </c:strCache>
            </c:strRef>
          </c:cat>
          <c:val>
            <c:numRef>
              <c:f>'08_Estadisticas_Graficos'!$C$48:$C$51</c:f>
              <c:numCache>
                <c:formatCode>#,##0</c:formatCode>
                <c:ptCount val="4"/>
                <c:pt idx="0">
                  <c:v>1068</c:v>
                </c:pt>
                <c:pt idx="1">
                  <c:v>1068</c:v>
                </c:pt>
                <c:pt idx="2">
                  <c:v>1068</c:v>
                </c:pt>
                <c:pt idx="3">
                  <c:v>6346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B-4D7F-B68D-8B08A98AF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69486667"/>
        <c:axId val="19664310"/>
      </c:barChart>
      <c:catAx>
        <c:axId val="69486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19664310"/>
        <c:crosses val="autoZero"/>
        <c:auto val="1"/>
        <c:lblAlgn val="ctr"/>
        <c:lblOffset val="100"/>
        <c:noMultiLvlLbl val="0"/>
      </c:catAx>
      <c:valAx>
        <c:axId val="1966431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Horas-hombre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s-PE"/>
          </a:p>
        </c:txPr>
        <c:crossAx val="6948666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15840">
      <a:solidFill>
        <a:srgbClr val="8EA9DB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15</xdr:col>
      <xdr:colOff>159120</xdr:colOff>
      <xdr:row>16</xdr:row>
      <xdr:rowOff>160560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4</xdr:row>
      <xdr:rowOff>0</xdr:rowOff>
    </xdr:from>
    <xdr:to>
      <xdr:col>22</xdr:col>
      <xdr:colOff>232560</xdr:colOff>
      <xdr:row>16</xdr:row>
      <xdr:rowOff>160560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15</xdr:col>
      <xdr:colOff>159120</xdr:colOff>
      <xdr:row>34</xdr:row>
      <xdr:rowOff>75240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22</xdr:row>
      <xdr:rowOff>0</xdr:rowOff>
    </xdr:from>
    <xdr:to>
      <xdr:col>22</xdr:col>
      <xdr:colOff>232560</xdr:colOff>
      <xdr:row>34</xdr:row>
      <xdr:rowOff>75240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15</xdr:col>
      <xdr:colOff>159120</xdr:colOff>
      <xdr:row>53</xdr:row>
      <xdr:rowOff>94320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40</xdr:row>
      <xdr:rowOff>0</xdr:rowOff>
    </xdr:from>
    <xdr:to>
      <xdr:col>22</xdr:col>
      <xdr:colOff>232560</xdr:colOff>
      <xdr:row>53</xdr:row>
      <xdr:rowOff>94320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58</xdr:row>
      <xdr:rowOff>0</xdr:rowOff>
    </xdr:from>
    <xdr:to>
      <xdr:col>15</xdr:col>
      <xdr:colOff>159120</xdr:colOff>
      <xdr:row>71</xdr:row>
      <xdr:rowOff>179640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0</xdr:colOff>
      <xdr:row>58</xdr:row>
      <xdr:rowOff>0</xdr:rowOff>
    </xdr:from>
    <xdr:to>
      <xdr:col>22</xdr:col>
      <xdr:colOff>232560</xdr:colOff>
      <xdr:row>71</xdr:row>
      <xdr:rowOff>179640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0</xdr:colOff>
      <xdr:row>76</xdr:row>
      <xdr:rowOff>0</xdr:rowOff>
    </xdr:from>
    <xdr:to>
      <xdr:col>15</xdr:col>
      <xdr:colOff>159120</xdr:colOff>
      <xdr:row>90</xdr:row>
      <xdr:rowOff>75240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EA9DB"/>
    <pageSetUpPr fitToPage="1"/>
  </sheetPr>
  <dimension ref="A1:O41"/>
  <sheetViews>
    <sheetView showGridLines="0" tabSelected="1" topLeftCell="A22" zoomScale="85" zoomScaleNormal="85" workbookViewId="0">
      <selection activeCell="G38" sqref="G38"/>
    </sheetView>
  </sheetViews>
  <sheetFormatPr baseColWidth="10" defaultColWidth="8.59765625" defaultRowHeight="15.6" x14ac:dyDescent="0.3"/>
  <cols>
    <col min="1" max="1" width="16" customWidth="1"/>
    <col min="2" max="2" width="19" customWidth="1"/>
    <col min="3" max="3" width="44" customWidth="1"/>
    <col min="4" max="4" width="17" customWidth="1"/>
    <col min="5" max="6" width="16" customWidth="1"/>
    <col min="7" max="7" width="19" customWidth="1"/>
    <col min="8" max="8" width="15" customWidth="1"/>
    <col min="9" max="9" width="16" customWidth="1"/>
    <col min="10" max="10" width="10" customWidth="1"/>
    <col min="11" max="11" width="13" customWidth="1"/>
    <col min="12" max="12" width="14" customWidth="1"/>
    <col min="13" max="13" width="13" customWidth="1"/>
    <col min="14" max="14" width="11" customWidth="1"/>
    <col min="15" max="15" width="32" customWidth="1"/>
  </cols>
  <sheetData>
    <row r="1" spans="1:15" ht="17.399999999999999" customHeight="1" x14ac:dyDescent="0.3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10" t="s">
        <v>1</v>
      </c>
      <c r="N1" s="10"/>
      <c r="O1" s="10"/>
    </row>
    <row r="2" spans="1:15" ht="17.399999999999999" customHeight="1" x14ac:dyDescent="0.3">
      <c r="A2" s="83" t="s">
        <v>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0" t="s">
        <v>3</v>
      </c>
      <c r="N2" s="10"/>
      <c r="O2" s="10"/>
    </row>
    <row r="3" spans="1:15" ht="17.399999999999999" customHeight="1" x14ac:dyDescent="0.3">
      <c r="A3" s="84" t="s">
        <v>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10" t="s">
        <v>5</v>
      </c>
      <c r="N3" s="10"/>
      <c r="O3" s="10"/>
    </row>
    <row r="4" spans="1:15" ht="17.399999999999999" customHeight="1" x14ac:dyDescent="0.3">
      <c r="A4" s="85" t="s">
        <v>474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11"/>
      <c r="N4" s="11"/>
      <c r="O4" s="11"/>
    </row>
    <row r="5" spans="1:15" ht="21.75" customHeight="1" x14ac:dyDescent="0.3">
      <c r="M5" s="10" t="s">
        <v>6</v>
      </c>
      <c r="N5" s="10"/>
      <c r="O5" s="10"/>
    </row>
    <row r="6" spans="1:15" ht="7.5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21.75" customHeight="1" x14ac:dyDescent="0.3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39.75" customHeight="1" x14ac:dyDescent="0.3">
      <c r="A8" s="13" t="s">
        <v>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3" t="s">
        <v>15</v>
      </c>
      <c r="I8" s="13" t="s">
        <v>16</v>
      </c>
      <c r="J8" s="13" t="s">
        <v>17</v>
      </c>
      <c r="K8" s="13" t="s">
        <v>18</v>
      </c>
      <c r="L8" s="13" t="s">
        <v>19</v>
      </c>
      <c r="M8" s="13" t="s">
        <v>20</v>
      </c>
      <c r="N8" s="13" t="s">
        <v>21</v>
      </c>
      <c r="O8" s="13" t="s">
        <v>22</v>
      </c>
    </row>
    <row r="9" spans="1:15" ht="24" customHeight="1" x14ac:dyDescent="0.3">
      <c r="A9" s="14">
        <v>1</v>
      </c>
      <c r="B9" s="15" t="s">
        <v>23</v>
      </c>
      <c r="C9" s="15" t="s">
        <v>24</v>
      </c>
      <c r="D9" s="14" t="s">
        <v>25</v>
      </c>
      <c r="E9" s="14" t="s">
        <v>26</v>
      </c>
      <c r="F9" s="14" t="s">
        <v>27</v>
      </c>
      <c r="G9" s="16">
        <v>1471875000</v>
      </c>
      <c r="H9" s="17">
        <v>392.5</v>
      </c>
      <c r="I9" s="14" t="s">
        <v>28</v>
      </c>
      <c r="J9" s="18">
        <v>0.14499999999999999</v>
      </c>
      <c r="K9" s="19">
        <v>450</v>
      </c>
      <c r="L9" s="14" t="s">
        <v>29</v>
      </c>
      <c r="M9" s="20">
        <f>'02_Alineacion_Estrategica'!D21</f>
        <v>2.6</v>
      </c>
      <c r="N9" s="20">
        <f>'03_Evaluacion_Riesgos'!C17</f>
        <v>1.9</v>
      </c>
      <c r="O9" s="15" t="s">
        <v>30</v>
      </c>
    </row>
    <row r="10" spans="1:15" ht="24" customHeight="1" x14ac:dyDescent="0.3">
      <c r="A10" s="14">
        <v>2</v>
      </c>
      <c r="B10" s="15" t="s">
        <v>31</v>
      </c>
      <c r="C10" s="15" t="s">
        <v>32</v>
      </c>
      <c r="D10" s="14" t="s">
        <v>33</v>
      </c>
      <c r="E10" s="14" t="s">
        <v>26</v>
      </c>
      <c r="F10" s="14" t="s">
        <v>34</v>
      </c>
      <c r="G10" s="16">
        <v>975000000</v>
      </c>
      <c r="H10" s="17">
        <v>260</v>
      </c>
      <c r="I10" s="14" t="s">
        <v>35</v>
      </c>
      <c r="J10" s="18">
        <v>0.13800000000000001</v>
      </c>
      <c r="K10" s="19">
        <v>320</v>
      </c>
      <c r="L10" s="14" t="s">
        <v>36</v>
      </c>
      <c r="M10" s="20">
        <f>'02_Alineacion_Estrategica'!E21</f>
        <v>2.38</v>
      </c>
      <c r="N10" s="20">
        <f>'03_Evaluacion_Riesgos'!C18</f>
        <v>2.1</v>
      </c>
      <c r="O10" s="15" t="s">
        <v>37</v>
      </c>
    </row>
    <row r="11" spans="1:15" ht="24" customHeight="1" x14ac:dyDescent="0.3">
      <c r="A11" s="14">
        <v>3</v>
      </c>
      <c r="B11" s="15" t="s">
        <v>38</v>
      </c>
      <c r="C11" s="15" t="s">
        <v>39</v>
      </c>
      <c r="D11" s="14" t="s">
        <v>25</v>
      </c>
      <c r="E11" s="14" t="s">
        <v>26</v>
      </c>
      <c r="F11" s="14" t="s">
        <v>40</v>
      </c>
      <c r="G11" s="16">
        <v>487500000</v>
      </c>
      <c r="H11" s="17">
        <v>130</v>
      </c>
      <c r="I11" s="14" t="s">
        <v>28</v>
      </c>
      <c r="J11" s="18">
        <v>0.152</v>
      </c>
      <c r="K11" s="19">
        <v>210</v>
      </c>
      <c r="L11" s="14" t="s">
        <v>41</v>
      </c>
      <c r="M11" s="20">
        <f>'02_Alineacion_Estrategica'!F21</f>
        <v>2.48</v>
      </c>
      <c r="N11" s="20">
        <f>'03_Evaluacion_Riesgos'!C19</f>
        <v>1.85</v>
      </c>
      <c r="O11" s="15" t="s">
        <v>42</v>
      </c>
    </row>
    <row r="12" spans="1:15" ht="24" customHeight="1" x14ac:dyDescent="0.3">
      <c r="A12" s="14">
        <v>4</v>
      </c>
      <c r="B12" s="15" t="s">
        <v>43</v>
      </c>
      <c r="C12" s="15" t="s">
        <v>44</v>
      </c>
      <c r="D12" s="14" t="s">
        <v>33</v>
      </c>
      <c r="E12" s="14" t="s">
        <v>26</v>
      </c>
      <c r="F12" s="14" t="s">
        <v>45</v>
      </c>
      <c r="G12" s="16">
        <v>260000000</v>
      </c>
      <c r="H12" s="17">
        <v>69.3</v>
      </c>
      <c r="I12" s="14" t="s">
        <v>46</v>
      </c>
      <c r="J12" s="18">
        <v>0.115</v>
      </c>
      <c r="K12" s="19">
        <v>85</v>
      </c>
      <c r="L12" s="14" t="s">
        <v>47</v>
      </c>
      <c r="M12" s="20">
        <f>'02_Alineacion_Estrategica'!G21</f>
        <v>2.23</v>
      </c>
      <c r="N12" s="20">
        <f>'03_Evaluacion_Riesgos'!C20</f>
        <v>1.6</v>
      </c>
      <c r="O12" s="15" t="s">
        <v>37</v>
      </c>
    </row>
    <row r="13" spans="1:15" ht="24" customHeight="1" x14ac:dyDescent="0.3">
      <c r="A13" s="14">
        <v>5</v>
      </c>
      <c r="B13" s="15" t="s">
        <v>48</v>
      </c>
      <c r="C13" s="15" t="s">
        <v>49</v>
      </c>
      <c r="D13" s="14" t="s">
        <v>50</v>
      </c>
      <c r="E13" s="14" t="s">
        <v>26</v>
      </c>
      <c r="F13" s="14" t="s">
        <v>51</v>
      </c>
      <c r="G13" s="16">
        <v>35625000</v>
      </c>
      <c r="H13" s="17">
        <v>9.5</v>
      </c>
      <c r="I13" s="14" t="s">
        <v>28</v>
      </c>
      <c r="J13" s="18">
        <v>0.12</v>
      </c>
      <c r="K13" s="19">
        <v>28</v>
      </c>
      <c r="L13" s="14" t="s">
        <v>52</v>
      </c>
      <c r="M13" s="20">
        <f>'02_Alineacion_Estrategica'!H21</f>
        <v>2.15</v>
      </c>
      <c r="N13" s="20">
        <f>'03_Evaluacion_Riesgos'!C21</f>
        <v>1.95</v>
      </c>
      <c r="O13" s="15" t="s">
        <v>53</v>
      </c>
    </row>
    <row r="14" spans="1:15" ht="24" customHeight="1" x14ac:dyDescent="0.3">
      <c r="A14" s="14">
        <v>6</v>
      </c>
      <c r="B14" s="15" t="s">
        <v>54</v>
      </c>
      <c r="C14" s="15" t="s">
        <v>55</v>
      </c>
      <c r="D14" s="14" t="s">
        <v>50</v>
      </c>
      <c r="E14" s="14" t="s">
        <v>56</v>
      </c>
      <c r="F14" s="14" t="s">
        <v>57</v>
      </c>
      <c r="G14" s="16">
        <v>47650000</v>
      </c>
      <c r="H14" s="17">
        <v>12.7</v>
      </c>
      <c r="I14" s="14" t="s">
        <v>46</v>
      </c>
      <c r="J14" s="18">
        <v>0.108</v>
      </c>
      <c r="K14" s="19">
        <v>35</v>
      </c>
      <c r="L14" s="14" t="s">
        <v>58</v>
      </c>
      <c r="M14" s="20">
        <f>'02_Alineacion_Estrategica'!I21</f>
        <v>2.15</v>
      </c>
      <c r="N14" s="20">
        <f>'03_Evaluacion_Riesgos'!C22</f>
        <v>1.75</v>
      </c>
      <c r="O14" s="15" t="s">
        <v>59</v>
      </c>
    </row>
    <row r="15" spans="1:15" ht="24" customHeight="1" x14ac:dyDescent="0.3">
      <c r="A15" s="14">
        <v>7</v>
      </c>
      <c r="B15" s="15" t="s">
        <v>60</v>
      </c>
      <c r="C15" s="15" t="s">
        <v>61</v>
      </c>
      <c r="D15" s="14" t="s">
        <v>50</v>
      </c>
      <c r="E15" s="14" t="s">
        <v>62</v>
      </c>
      <c r="F15" s="14" t="s">
        <v>63</v>
      </c>
      <c r="G15" s="16">
        <v>16000000</v>
      </c>
      <c r="H15" s="17">
        <v>4.3</v>
      </c>
      <c r="I15" s="14" t="s">
        <v>35</v>
      </c>
      <c r="J15" s="18">
        <v>0.14000000000000001</v>
      </c>
      <c r="K15" s="19">
        <v>18</v>
      </c>
      <c r="L15" s="14" t="s">
        <v>29</v>
      </c>
      <c r="M15" s="20">
        <f>'02_Alineacion_Estrategica'!J21</f>
        <v>2.15</v>
      </c>
      <c r="N15" s="20">
        <f>'03_Evaluacion_Riesgos'!C23</f>
        <v>1.5</v>
      </c>
      <c r="O15" s="15" t="s">
        <v>64</v>
      </c>
    </row>
    <row r="16" spans="1:15" ht="24" customHeight="1" x14ac:dyDescent="0.3">
      <c r="A16" s="14">
        <v>8</v>
      </c>
      <c r="B16" s="15" t="s">
        <v>65</v>
      </c>
      <c r="C16" s="15" t="s">
        <v>66</v>
      </c>
      <c r="D16" s="14" t="s">
        <v>25</v>
      </c>
      <c r="E16" s="14" t="s">
        <v>62</v>
      </c>
      <c r="F16" s="14" t="s">
        <v>67</v>
      </c>
      <c r="G16" s="16">
        <v>26000000</v>
      </c>
      <c r="H16" s="17">
        <v>6.9</v>
      </c>
      <c r="I16" s="14" t="s">
        <v>35</v>
      </c>
      <c r="J16" s="18">
        <v>0.13500000000000001</v>
      </c>
      <c r="K16" s="19">
        <v>14</v>
      </c>
      <c r="L16" s="14" t="s">
        <v>68</v>
      </c>
      <c r="M16" s="20">
        <f>'02_Alineacion_Estrategica'!K21</f>
        <v>2</v>
      </c>
      <c r="N16" s="20">
        <f>'03_Evaluacion_Riesgos'!C24</f>
        <v>1.3</v>
      </c>
      <c r="O16" s="15" t="s">
        <v>69</v>
      </c>
    </row>
    <row r="17" spans="1:15" ht="24" customHeight="1" x14ac:dyDescent="0.3">
      <c r="A17" s="14">
        <v>9</v>
      </c>
      <c r="B17" s="15" t="s">
        <v>70</v>
      </c>
      <c r="C17" s="15" t="s">
        <v>71</v>
      </c>
      <c r="D17" s="14" t="s">
        <v>25</v>
      </c>
      <c r="E17" s="14" t="s">
        <v>56</v>
      </c>
      <c r="F17" s="14" t="s">
        <v>72</v>
      </c>
      <c r="G17" s="16">
        <v>64625000</v>
      </c>
      <c r="H17" s="17">
        <v>17.2</v>
      </c>
      <c r="I17" s="14" t="s">
        <v>35</v>
      </c>
      <c r="J17" s="18">
        <v>0.125</v>
      </c>
      <c r="K17" s="19">
        <v>42</v>
      </c>
      <c r="L17" s="14" t="s">
        <v>73</v>
      </c>
      <c r="M17" s="20">
        <f>'02_Alineacion_Estrategica'!L21</f>
        <v>2</v>
      </c>
      <c r="N17" s="20">
        <f>'03_Evaluacion_Riesgos'!C25</f>
        <v>1.4</v>
      </c>
      <c r="O17" s="15" t="s">
        <v>74</v>
      </c>
    </row>
    <row r="18" spans="1:15" ht="24" customHeight="1" x14ac:dyDescent="0.3">
      <c r="A18" s="14">
        <v>10</v>
      </c>
      <c r="B18" s="15" t="s">
        <v>75</v>
      </c>
      <c r="C18" s="15" t="s">
        <v>76</v>
      </c>
      <c r="D18" s="14" t="s">
        <v>25</v>
      </c>
      <c r="E18" s="14" t="s">
        <v>56</v>
      </c>
      <c r="F18" s="14" t="s">
        <v>77</v>
      </c>
      <c r="G18" s="16">
        <v>250000000</v>
      </c>
      <c r="H18" s="17">
        <v>66.7</v>
      </c>
      <c r="I18" s="14" t="s">
        <v>35</v>
      </c>
      <c r="J18" s="18">
        <v>9.5000000000000001E-2</v>
      </c>
      <c r="K18" s="19">
        <v>65</v>
      </c>
      <c r="L18" s="14" t="s">
        <v>78</v>
      </c>
      <c r="M18" s="20">
        <f>'02_Alineacion_Estrategica'!M21</f>
        <v>1.92</v>
      </c>
      <c r="N18" s="20">
        <f>'03_Evaluacion_Riesgos'!C26</f>
        <v>1.2</v>
      </c>
      <c r="O18" s="15" t="s">
        <v>79</v>
      </c>
    </row>
    <row r="19" spans="1:15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ht="21.75" customHeight="1" x14ac:dyDescent="0.3">
      <c r="A20" s="9" t="s">
        <v>80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19.5" customHeight="1" x14ac:dyDescent="0.3">
      <c r="A21" s="8" t="s">
        <v>81</v>
      </c>
      <c r="B21" s="8"/>
      <c r="C21" s="8"/>
      <c r="D21" s="8"/>
      <c r="E21" s="8"/>
      <c r="F21" s="8"/>
      <c r="G21" s="16">
        <f>SUM(G9:G18)</f>
        <v>3634275000</v>
      </c>
      <c r="H21" s="21">
        <f>SUM(H9:H18)</f>
        <v>969.1</v>
      </c>
      <c r="I21" s="22" t="s">
        <v>82</v>
      </c>
      <c r="J21" s="12"/>
      <c r="K21" s="12"/>
      <c r="L21" s="12"/>
      <c r="M21" s="12"/>
      <c r="N21" s="12"/>
      <c r="O21" s="12"/>
    </row>
    <row r="22" spans="1:15" ht="19.5" customHeight="1" x14ac:dyDescent="0.3">
      <c r="A22" s="8" t="s">
        <v>83</v>
      </c>
      <c r="B22" s="8"/>
      <c r="C22" s="8"/>
      <c r="D22" s="8"/>
      <c r="E22" s="8"/>
      <c r="F22" s="8"/>
      <c r="G22" s="16">
        <f>AVERAGE(G9:G18)</f>
        <v>363427500</v>
      </c>
      <c r="H22" s="21">
        <f>AVERAGE(H9:H18)</f>
        <v>96.91</v>
      </c>
      <c r="I22" s="22" t="s">
        <v>84</v>
      </c>
      <c r="J22" s="23">
        <f>AVERAGE(J9:J18)</f>
        <v>0.1273</v>
      </c>
      <c r="K22" s="24">
        <f>AVERAGE(K9:K18)</f>
        <v>126.7</v>
      </c>
      <c r="L22" s="12"/>
      <c r="M22" s="25">
        <f>AVERAGE(M9:M18)</f>
        <v>2.2060000000000004</v>
      </c>
      <c r="N22" s="25">
        <f>AVERAGE(N9:N18)</f>
        <v>1.655</v>
      </c>
      <c r="O22" s="12"/>
    </row>
    <row r="23" spans="1:15" ht="19.5" customHeight="1" x14ac:dyDescent="0.3">
      <c r="A23" s="8" t="s">
        <v>85</v>
      </c>
      <c r="B23" s="8"/>
      <c r="C23" s="8"/>
      <c r="D23" s="8"/>
      <c r="E23" s="8"/>
      <c r="F23" s="8"/>
      <c r="G23" s="16">
        <f>MEDIAN(G9:G18)</f>
        <v>157312500</v>
      </c>
      <c r="H23" s="21">
        <f>MEDIAN(H9:H18)</f>
        <v>41.95</v>
      </c>
      <c r="I23" s="12"/>
      <c r="J23" s="12"/>
      <c r="K23" s="12"/>
      <c r="L23" s="12"/>
      <c r="M23" s="12"/>
      <c r="N23" s="12"/>
      <c r="O23" s="12"/>
    </row>
    <row r="24" spans="1:15" ht="19.5" customHeight="1" x14ac:dyDescent="0.3">
      <c r="A24" s="8" t="s">
        <v>86</v>
      </c>
      <c r="B24" s="8"/>
      <c r="C24" s="8"/>
      <c r="D24" s="8"/>
      <c r="E24" s="8"/>
      <c r="F24" s="8"/>
      <c r="G24" s="16">
        <f>_xlfn.STDEV.S(G9:G18)</f>
        <v>491330375.59178716</v>
      </c>
      <c r="H24" s="21">
        <f>_xlfn.STDEV.S(H9:H18)</f>
        <v>131.02401349031828</v>
      </c>
      <c r="I24" s="12"/>
      <c r="J24" s="12"/>
      <c r="K24" s="12"/>
      <c r="L24" s="12"/>
      <c r="M24" s="12"/>
      <c r="N24" s="12"/>
      <c r="O24" s="12"/>
    </row>
    <row r="25" spans="1:15" ht="19.5" customHeight="1" x14ac:dyDescent="0.3">
      <c r="A25" s="8" t="s">
        <v>87</v>
      </c>
      <c r="B25" s="8"/>
      <c r="C25" s="8"/>
      <c r="D25" s="8"/>
      <c r="E25" s="8"/>
      <c r="F25" s="8"/>
      <c r="G25" s="16">
        <f>MIN(G9:G18)</f>
        <v>16000000</v>
      </c>
      <c r="H25" s="21">
        <f>MIN(H9:H18)</f>
        <v>4.3</v>
      </c>
      <c r="I25" s="12"/>
      <c r="J25" s="12"/>
      <c r="K25" s="12"/>
      <c r="L25" s="12"/>
      <c r="M25" s="12"/>
      <c r="N25" s="12"/>
      <c r="O25" s="12"/>
    </row>
    <row r="26" spans="1:15" ht="19.5" customHeight="1" x14ac:dyDescent="0.3">
      <c r="A26" s="8" t="s">
        <v>88</v>
      </c>
      <c r="B26" s="8"/>
      <c r="C26" s="8"/>
      <c r="D26" s="8"/>
      <c r="E26" s="8"/>
      <c r="F26" s="8"/>
      <c r="G26" s="16">
        <f>MAX(G9:G18)</f>
        <v>1471875000</v>
      </c>
      <c r="H26" s="21">
        <f>MAX(H9:H18)</f>
        <v>392.5</v>
      </c>
      <c r="I26" s="12"/>
      <c r="J26" s="12"/>
      <c r="K26" s="12"/>
      <c r="L26" s="12"/>
      <c r="M26" s="12"/>
      <c r="N26" s="12"/>
      <c r="O26" s="12"/>
    </row>
    <row r="27" spans="1:15" ht="19.5" customHeight="1" x14ac:dyDescent="0.3">
      <c r="A27" s="8" t="s">
        <v>89</v>
      </c>
      <c r="B27" s="8"/>
      <c r="C27" s="8"/>
      <c r="D27" s="8"/>
      <c r="E27" s="8"/>
      <c r="F27" s="8"/>
      <c r="G27" s="12"/>
      <c r="H27" s="12"/>
      <c r="I27" s="12"/>
      <c r="J27" s="12"/>
      <c r="K27" s="26">
        <f>SUM(K9:K18)</f>
        <v>1267</v>
      </c>
      <c r="L27" s="12"/>
      <c r="M27" s="12"/>
      <c r="N27" s="12"/>
      <c r="O27" s="12"/>
    </row>
    <row r="28" spans="1:15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3">
      <c r="A29" s="9" t="s">
        <v>90</v>
      </c>
      <c r="B29" s="9"/>
      <c r="C29" s="9"/>
      <c r="D29" s="9"/>
      <c r="E29" s="9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ht="31.5" customHeight="1" x14ac:dyDescent="0.3">
      <c r="A30" s="13" t="s">
        <v>91</v>
      </c>
      <c r="B30" s="13" t="s">
        <v>92</v>
      </c>
      <c r="C30" s="13" t="s">
        <v>93</v>
      </c>
      <c r="D30" s="13" t="s">
        <v>94</v>
      </c>
      <c r="E30" s="13" t="s">
        <v>95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ht="19.5" customHeight="1" x14ac:dyDescent="0.3">
      <c r="A31" s="15" t="s">
        <v>26</v>
      </c>
      <c r="B31" s="27">
        <f>COUNTIF(E9:E18, "Estratégico")</f>
        <v>5</v>
      </c>
      <c r="C31" s="27">
        <f>COUNTIF($E$9:$E$18,A31)</f>
        <v>5</v>
      </c>
      <c r="D31" s="16">
        <f>SUMIF(E9:E18, "Estratégico", G9:G18)</f>
        <v>3230000000</v>
      </c>
      <c r="E31" s="18">
        <f>D31/$G$21</f>
        <v>0.88876048180173484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ht="19.5" customHeight="1" x14ac:dyDescent="0.3">
      <c r="A32" s="15" t="s">
        <v>56</v>
      </c>
      <c r="B32" s="27">
        <f>COUNTIF(E9:E18, "Sostenibilidad")</f>
        <v>3</v>
      </c>
      <c r="C32" s="27">
        <f>COUNTIF($E$9:$E$18,A32)</f>
        <v>3</v>
      </c>
      <c r="D32" s="16">
        <f>SUMIF(E9:E18, "Sostenibilidad", G9:G18)</f>
        <v>362275000</v>
      </c>
      <c r="E32" s="18">
        <f>D32/$G$21</f>
        <v>9.9682880354403564E-2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9.5" customHeight="1" x14ac:dyDescent="0.3">
      <c r="A33" s="15" t="s">
        <v>62</v>
      </c>
      <c r="B33" s="27">
        <f>COUNTIF(E9:E18, "Táctico")</f>
        <v>2</v>
      </c>
      <c r="C33" s="27">
        <f>COUNTIF($E$9:$E$18,A33)</f>
        <v>2</v>
      </c>
      <c r="D33" s="16">
        <f>SUMIF(E9:E18, "Táctico", G9:G18)</f>
        <v>42000000</v>
      </c>
      <c r="E33" s="18">
        <f>D33/$G$21</f>
        <v>1.1556637843861567E-2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ht="19.5" customHeight="1" x14ac:dyDescent="0.3">
      <c r="A34" s="28" t="s">
        <v>96</v>
      </c>
      <c r="B34" s="28">
        <f>SUM(B31:B33)</f>
        <v>10</v>
      </c>
      <c r="C34" s="28">
        <f>SUM(C31:C33)</f>
        <v>10</v>
      </c>
      <c r="D34" s="29">
        <f>SUM(D31:D33)</f>
        <v>3634275000</v>
      </c>
      <c r="E34" s="30">
        <f>SUM(E31:E33)</f>
        <v>0.99999999999999989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A36" s="9" t="s">
        <v>97</v>
      </c>
      <c r="B36" s="9"/>
      <c r="C36" s="9"/>
      <c r="D36" s="9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ht="31.5" customHeight="1" x14ac:dyDescent="0.3">
      <c r="A37" s="13" t="s">
        <v>98</v>
      </c>
      <c r="B37" s="13" t="s">
        <v>99</v>
      </c>
      <c r="C37" s="13" t="s">
        <v>94</v>
      </c>
      <c r="D37" s="13" t="s">
        <v>100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ht="19.5" customHeight="1" x14ac:dyDescent="0.3">
      <c r="A38" s="15" t="s">
        <v>25</v>
      </c>
      <c r="B38" s="27">
        <f>COUNTIF(D9:D18, "Costa")</f>
        <v>5</v>
      </c>
      <c r="C38" s="16">
        <f>SUMIF(D9:D18, "Costa", G9:G18)</f>
        <v>2300000000</v>
      </c>
      <c r="D38" s="18">
        <f>C38/$G$21</f>
        <v>0.63286350097337163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ht="19.5" customHeight="1" x14ac:dyDescent="0.3">
      <c r="A39" s="15" t="s">
        <v>33</v>
      </c>
      <c r="B39" s="27">
        <f>COUNTIF(D9:D18, "Sierra")</f>
        <v>2</v>
      </c>
      <c r="C39" s="16">
        <f>SUMIF(D9:D18, "Sierra", G9:G18)</f>
        <v>1235000000</v>
      </c>
      <c r="D39" s="18">
        <f>C39/$G$21</f>
        <v>0.33982018421831039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ht="19.5" customHeight="1" x14ac:dyDescent="0.3">
      <c r="A40" s="15" t="s">
        <v>50</v>
      </c>
      <c r="B40" s="27">
        <f>COUNTIF(D9:D18, "Selva")</f>
        <v>3</v>
      </c>
      <c r="C40" s="16">
        <f>SUMIF(D9:D18, "Selva", G9:G18)</f>
        <v>99275000</v>
      </c>
      <c r="D40" s="18">
        <f>C40/$G$21</f>
        <v>2.7316314808318028E-2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9.5" customHeight="1" x14ac:dyDescent="0.3">
      <c r="A41" s="28" t="s">
        <v>96</v>
      </c>
      <c r="B41" s="28">
        <f>SUM(B38:B40)</f>
        <v>10</v>
      </c>
      <c r="C41" s="29">
        <f>SUM(C38:C40)</f>
        <v>3634275000</v>
      </c>
      <c r="D41" s="30">
        <f>SUM(D38:D40)</f>
        <v>1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</sheetData>
  <mergeCells count="19">
    <mergeCell ref="A27:F27"/>
    <mergeCell ref="A29:E29"/>
    <mergeCell ref="A36:D36"/>
    <mergeCell ref="A22:F22"/>
    <mergeCell ref="A23:F23"/>
    <mergeCell ref="A24:F24"/>
    <mergeCell ref="A25:F25"/>
    <mergeCell ref="A26:F26"/>
    <mergeCell ref="A4:L4"/>
    <mergeCell ref="M5:O5"/>
    <mergeCell ref="A7:O7"/>
    <mergeCell ref="A20:O20"/>
    <mergeCell ref="A21:F21"/>
    <mergeCell ref="A1:L1"/>
    <mergeCell ref="M1:O1"/>
    <mergeCell ref="A2:L2"/>
    <mergeCell ref="M2:O2"/>
    <mergeCell ref="A3:L3"/>
    <mergeCell ref="M3:O3"/>
  </mergeCells>
  <conditionalFormatting sqref="M9:M18">
    <cfRule type="expression" dxfId="46" priority="2">
      <formula>M9&gt;=2.5</formula>
    </cfRule>
    <cfRule type="expression" dxfId="45" priority="3">
      <formula>M9&gt;=2</formula>
    </cfRule>
    <cfRule type="expression" dxfId="44" priority="4">
      <formula>M9&lt;2</formula>
    </cfRule>
  </conditionalFormatting>
  <conditionalFormatting sqref="N9:N18">
    <cfRule type="expression" dxfId="43" priority="5">
      <formula>N9&gt;=1.85</formula>
    </cfRule>
    <cfRule type="expression" dxfId="42" priority="6">
      <formula>N9&gt;=1.5</formula>
    </cfRule>
    <cfRule type="expression" dxfId="41" priority="7">
      <formula>N9&lt;1.5</formula>
    </cfRule>
  </conditionalFormatting>
  <conditionalFormatting sqref="A9:L18">
    <cfRule type="expression" dxfId="40" priority="8">
      <formula>$E9="Estratégico"</formula>
    </cfRule>
    <cfRule type="expression" dxfId="39" priority="9">
      <formula>$E9="Sostenibilidad"</formula>
    </cfRule>
    <cfRule type="expression" dxfId="38" priority="10">
      <formula>$E9="Táctico"</formula>
    </cfRule>
  </conditionalFormatting>
  <conditionalFormatting sqref="O9:O18">
    <cfRule type="expression" dxfId="37" priority="11">
      <formula>$E9="Estratégico"</formula>
    </cfRule>
    <cfRule type="expression" dxfId="36" priority="12">
      <formula>$E9="Sostenibilidad"</formula>
    </cfRule>
    <cfRule type="expression" dxfId="35" priority="13">
      <formula>$E9="Táctico"</formula>
    </cfRule>
  </conditionalFormatting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34"/>
  <sheetViews>
    <sheetView showGridLines="0" zoomScaleNormal="100" workbookViewId="0">
      <selection sqref="A1:J1"/>
    </sheetView>
  </sheetViews>
  <sheetFormatPr baseColWidth="10" defaultColWidth="8.59765625" defaultRowHeight="15.6" x14ac:dyDescent="0.3"/>
  <cols>
    <col min="1" max="2" width="11" customWidth="1"/>
    <col min="3" max="3" width="60" customWidth="1"/>
    <col min="4" max="13" width="12" customWidth="1"/>
  </cols>
  <sheetData>
    <row r="1" spans="1:13" ht="21.75" customHeight="1" x14ac:dyDescent="0.3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10" t="s">
        <v>1</v>
      </c>
      <c r="L1" s="10"/>
      <c r="M1" s="10"/>
    </row>
    <row r="2" spans="1:13" ht="21.75" customHeight="1" x14ac:dyDescent="0.3">
      <c r="A2" s="6" t="s">
        <v>102</v>
      </c>
      <c r="B2" s="6"/>
      <c r="C2" s="6"/>
      <c r="D2" s="6"/>
      <c r="E2" s="6"/>
      <c r="F2" s="6"/>
      <c r="G2" s="6"/>
      <c r="H2" s="6"/>
      <c r="I2" s="6"/>
      <c r="J2" s="6"/>
      <c r="K2" s="10" t="s">
        <v>3</v>
      </c>
      <c r="L2" s="10"/>
      <c r="M2" s="10"/>
    </row>
    <row r="3" spans="1:13" ht="21.75" customHeight="1" x14ac:dyDescent="0.3">
      <c r="A3" s="5" t="s">
        <v>103</v>
      </c>
      <c r="B3" s="5"/>
      <c r="C3" s="5"/>
      <c r="D3" s="5"/>
      <c r="E3" s="5"/>
      <c r="F3" s="5"/>
      <c r="G3" s="5"/>
      <c r="H3" s="5"/>
      <c r="I3" s="5"/>
      <c r="J3" s="5"/>
      <c r="K3" s="10" t="s">
        <v>5</v>
      </c>
      <c r="L3" s="10"/>
      <c r="M3" s="10"/>
    </row>
    <row r="4" spans="1:13" ht="21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10" t="s">
        <v>104</v>
      </c>
      <c r="L4" s="10"/>
      <c r="M4" s="10"/>
    </row>
    <row r="5" spans="1:13" ht="43.5" customHeight="1" x14ac:dyDescent="0.3">
      <c r="A5" s="13" t="s">
        <v>105</v>
      </c>
      <c r="B5" s="13" t="s">
        <v>106</v>
      </c>
      <c r="C5" s="13" t="s">
        <v>107</v>
      </c>
      <c r="D5" s="13" t="s">
        <v>108</v>
      </c>
      <c r="E5" s="13" t="s">
        <v>109</v>
      </c>
      <c r="F5" s="13" t="s">
        <v>110</v>
      </c>
      <c r="G5" s="13" t="s">
        <v>111</v>
      </c>
      <c r="H5" s="13" t="s">
        <v>112</v>
      </c>
      <c r="I5" s="13" t="s">
        <v>113</v>
      </c>
      <c r="J5" s="13" t="s">
        <v>114</v>
      </c>
      <c r="K5" s="13" t="s">
        <v>115</v>
      </c>
      <c r="L5" s="13" t="s">
        <v>116</v>
      </c>
      <c r="M5" s="13" t="s">
        <v>117</v>
      </c>
    </row>
    <row r="6" spans="1:13" ht="30" customHeight="1" x14ac:dyDescent="0.3">
      <c r="A6" s="31" t="s">
        <v>118</v>
      </c>
      <c r="B6" s="31">
        <v>25</v>
      </c>
      <c r="C6" s="15" t="s">
        <v>119</v>
      </c>
      <c r="D6" s="27">
        <v>3</v>
      </c>
      <c r="E6" s="27">
        <v>3</v>
      </c>
      <c r="F6" s="27">
        <v>3</v>
      </c>
      <c r="G6" s="27">
        <v>2</v>
      </c>
      <c r="H6" s="27">
        <v>2</v>
      </c>
      <c r="I6" s="27">
        <v>2</v>
      </c>
      <c r="J6" s="27">
        <v>2</v>
      </c>
      <c r="K6" s="27">
        <v>2</v>
      </c>
      <c r="L6" s="27">
        <v>2</v>
      </c>
      <c r="M6" s="27">
        <v>1</v>
      </c>
    </row>
    <row r="7" spans="1:13" ht="30" customHeight="1" x14ac:dyDescent="0.3">
      <c r="A7" s="31" t="s">
        <v>120</v>
      </c>
      <c r="B7" s="31">
        <v>25</v>
      </c>
      <c r="C7" s="15" t="s">
        <v>121</v>
      </c>
      <c r="D7" s="27">
        <v>3</v>
      </c>
      <c r="E7" s="27">
        <v>3</v>
      </c>
      <c r="F7" s="27">
        <v>3</v>
      </c>
      <c r="G7" s="27">
        <v>3</v>
      </c>
      <c r="H7" s="27">
        <v>3</v>
      </c>
      <c r="I7" s="27">
        <v>2</v>
      </c>
      <c r="J7" s="27">
        <v>2</v>
      </c>
      <c r="K7" s="27">
        <v>2</v>
      </c>
      <c r="L7" s="27">
        <v>2</v>
      </c>
      <c r="M7" s="27">
        <v>2</v>
      </c>
    </row>
    <row r="8" spans="1:13" ht="30" customHeight="1" x14ac:dyDescent="0.3">
      <c r="A8" s="31" t="s">
        <v>122</v>
      </c>
      <c r="B8" s="31">
        <v>20</v>
      </c>
      <c r="C8" s="15" t="s">
        <v>123</v>
      </c>
      <c r="D8" s="27">
        <v>2</v>
      </c>
      <c r="E8" s="27">
        <v>2</v>
      </c>
      <c r="F8" s="27">
        <v>2</v>
      </c>
      <c r="G8" s="27">
        <v>2</v>
      </c>
      <c r="H8" s="27">
        <v>2</v>
      </c>
      <c r="I8" s="27">
        <v>2</v>
      </c>
      <c r="J8" s="27">
        <v>3</v>
      </c>
      <c r="K8" s="27">
        <v>2</v>
      </c>
      <c r="L8" s="27">
        <v>2</v>
      </c>
      <c r="M8" s="27">
        <v>2</v>
      </c>
    </row>
    <row r="9" spans="1:13" ht="30" customHeight="1" x14ac:dyDescent="0.3">
      <c r="A9" s="31" t="s">
        <v>124</v>
      </c>
      <c r="B9" s="31">
        <v>20</v>
      </c>
      <c r="C9" s="15" t="s">
        <v>125</v>
      </c>
      <c r="D9" s="27">
        <v>3</v>
      </c>
      <c r="E9" s="27">
        <v>3</v>
      </c>
      <c r="F9" s="27">
        <v>2</v>
      </c>
      <c r="G9" s="27">
        <v>3</v>
      </c>
      <c r="H9" s="27">
        <v>3</v>
      </c>
      <c r="I9" s="27">
        <v>1</v>
      </c>
      <c r="J9" s="27">
        <v>1</v>
      </c>
      <c r="K9" s="27">
        <v>1</v>
      </c>
      <c r="L9" s="27">
        <v>1</v>
      </c>
      <c r="M9" s="27">
        <v>1</v>
      </c>
    </row>
    <row r="10" spans="1:13" ht="30" customHeight="1" x14ac:dyDescent="0.3">
      <c r="A10" s="31" t="s">
        <v>126</v>
      </c>
      <c r="B10" s="31">
        <v>15</v>
      </c>
      <c r="C10" s="15" t="s">
        <v>127</v>
      </c>
      <c r="D10" s="27">
        <v>2</v>
      </c>
      <c r="E10" s="27">
        <v>2</v>
      </c>
      <c r="F10" s="27">
        <v>2</v>
      </c>
      <c r="G10" s="27">
        <v>2</v>
      </c>
      <c r="H10" s="27">
        <v>2</v>
      </c>
      <c r="I10" s="27">
        <v>3</v>
      </c>
      <c r="J10" s="27">
        <v>2</v>
      </c>
      <c r="K10" s="27">
        <v>2</v>
      </c>
      <c r="L10" s="27">
        <v>3</v>
      </c>
      <c r="M10" s="27">
        <v>3</v>
      </c>
    </row>
    <row r="11" spans="1:13" ht="30" customHeight="1" x14ac:dyDescent="0.3">
      <c r="A11" s="31" t="s">
        <v>128</v>
      </c>
      <c r="B11" s="31">
        <v>15</v>
      </c>
      <c r="C11" s="15" t="s">
        <v>129</v>
      </c>
      <c r="D11" s="27">
        <v>2</v>
      </c>
      <c r="E11" s="27">
        <v>2</v>
      </c>
      <c r="F11" s="27">
        <v>2</v>
      </c>
      <c r="G11" s="27">
        <v>2</v>
      </c>
      <c r="H11" s="27">
        <v>2</v>
      </c>
      <c r="I11" s="27">
        <v>3</v>
      </c>
      <c r="J11" s="27">
        <v>2</v>
      </c>
      <c r="K11" s="27">
        <v>2</v>
      </c>
      <c r="L11" s="27">
        <v>3</v>
      </c>
      <c r="M11" s="27">
        <v>3</v>
      </c>
    </row>
    <row r="12" spans="1:13" ht="30" customHeight="1" x14ac:dyDescent="0.3">
      <c r="A12" s="31" t="s">
        <v>130</v>
      </c>
      <c r="B12" s="31">
        <v>15</v>
      </c>
      <c r="C12" s="15" t="s">
        <v>131</v>
      </c>
      <c r="D12" s="27">
        <v>3</v>
      </c>
      <c r="E12" s="27">
        <v>2</v>
      </c>
      <c r="F12" s="27">
        <v>3</v>
      </c>
      <c r="G12" s="27">
        <v>2</v>
      </c>
      <c r="H12" s="27">
        <v>2</v>
      </c>
      <c r="I12" s="27">
        <v>2</v>
      </c>
      <c r="J12" s="27">
        <v>3</v>
      </c>
      <c r="K12" s="27">
        <v>2</v>
      </c>
      <c r="L12" s="27">
        <v>1</v>
      </c>
      <c r="M12" s="27">
        <v>2</v>
      </c>
    </row>
    <row r="13" spans="1:13" ht="30" customHeight="1" x14ac:dyDescent="0.3">
      <c r="A13" s="31" t="s">
        <v>132</v>
      </c>
      <c r="B13" s="31">
        <v>15</v>
      </c>
      <c r="C13" s="15" t="s">
        <v>133</v>
      </c>
      <c r="D13" s="27">
        <v>3</v>
      </c>
      <c r="E13" s="27">
        <v>2</v>
      </c>
      <c r="F13" s="27">
        <v>3</v>
      </c>
      <c r="G13" s="27">
        <v>2</v>
      </c>
      <c r="H13" s="27">
        <v>2</v>
      </c>
      <c r="I13" s="27">
        <v>2</v>
      </c>
      <c r="J13" s="27">
        <v>3</v>
      </c>
      <c r="K13" s="27">
        <v>2</v>
      </c>
      <c r="L13" s="27">
        <v>1</v>
      </c>
      <c r="M13" s="27">
        <v>2</v>
      </c>
    </row>
    <row r="14" spans="1:13" ht="30" customHeight="1" x14ac:dyDescent="0.3">
      <c r="A14" s="31" t="s">
        <v>134</v>
      </c>
      <c r="B14" s="31">
        <v>15</v>
      </c>
      <c r="C14" s="15" t="s">
        <v>135</v>
      </c>
      <c r="D14" s="27">
        <v>3</v>
      </c>
      <c r="E14" s="27">
        <v>2</v>
      </c>
      <c r="F14" s="27">
        <v>3</v>
      </c>
      <c r="G14" s="27">
        <v>2</v>
      </c>
      <c r="H14" s="27">
        <v>2</v>
      </c>
      <c r="I14" s="27">
        <v>2</v>
      </c>
      <c r="J14" s="27">
        <v>2</v>
      </c>
      <c r="K14" s="27">
        <v>2</v>
      </c>
      <c r="L14" s="27">
        <v>2</v>
      </c>
      <c r="M14" s="27">
        <v>2</v>
      </c>
    </row>
    <row r="15" spans="1:13" ht="30" customHeight="1" x14ac:dyDescent="0.3">
      <c r="A15" s="31" t="s">
        <v>136</v>
      </c>
      <c r="B15" s="31">
        <v>15</v>
      </c>
      <c r="C15" s="15" t="s">
        <v>137</v>
      </c>
      <c r="D15" s="27">
        <v>2</v>
      </c>
      <c r="E15" s="27">
        <v>2</v>
      </c>
      <c r="F15" s="27">
        <v>2</v>
      </c>
      <c r="G15" s="27">
        <v>2</v>
      </c>
      <c r="H15" s="27">
        <v>2</v>
      </c>
      <c r="I15" s="27">
        <v>2</v>
      </c>
      <c r="J15" s="27">
        <v>2</v>
      </c>
      <c r="K15" s="27">
        <v>2</v>
      </c>
      <c r="L15" s="27">
        <v>2</v>
      </c>
      <c r="M15" s="27">
        <v>2</v>
      </c>
    </row>
    <row r="16" spans="1:13" ht="30" customHeight="1" x14ac:dyDescent="0.3">
      <c r="A16" s="31" t="s">
        <v>138</v>
      </c>
      <c r="B16" s="31">
        <v>15</v>
      </c>
      <c r="C16" s="15" t="s">
        <v>139</v>
      </c>
      <c r="D16" s="27">
        <v>3</v>
      </c>
      <c r="E16" s="27">
        <v>3</v>
      </c>
      <c r="F16" s="27">
        <v>3</v>
      </c>
      <c r="G16" s="27">
        <v>3</v>
      </c>
      <c r="H16" s="27">
        <v>3</v>
      </c>
      <c r="I16" s="27">
        <v>3</v>
      </c>
      <c r="J16" s="27">
        <v>3</v>
      </c>
      <c r="K16" s="27">
        <v>3</v>
      </c>
      <c r="L16" s="27">
        <v>3</v>
      </c>
      <c r="M16" s="27">
        <v>3</v>
      </c>
    </row>
    <row r="17" spans="1:13" ht="30" customHeight="1" x14ac:dyDescent="0.3">
      <c r="A17" s="31" t="s">
        <v>140</v>
      </c>
      <c r="B17" s="31">
        <v>15</v>
      </c>
      <c r="C17" s="15" t="s">
        <v>141</v>
      </c>
      <c r="D17" s="27">
        <v>2</v>
      </c>
      <c r="E17" s="27">
        <v>2</v>
      </c>
      <c r="F17" s="27">
        <v>2</v>
      </c>
      <c r="G17" s="27">
        <v>2</v>
      </c>
      <c r="H17" s="27">
        <v>2</v>
      </c>
      <c r="I17" s="27">
        <v>2</v>
      </c>
      <c r="J17" s="27">
        <v>2</v>
      </c>
      <c r="K17" s="27">
        <v>2</v>
      </c>
      <c r="L17" s="27">
        <v>2</v>
      </c>
      <c r="M17" s="27">
        <v>2</v>
      </c>
    </row>
    <row r="18" spans="1:13" ht="30" customHeight="1" x14ac:dyDescent="0.3">
      <c r="A18" s="31" t="s">
        <v>142</v>
      </c>
      <c r="B18" s="31">
        <v>15</v>
      </c>
      <c r="C18" s="15" t="s">
        <v>143</v>
      </c>
      <c r="D18" s="27">
        <v>3</v>
      </c>
      <c r="E18" s="27">
        <v>3</v>
      </c>
      <c r="F18" s="27">
        <v>3</v>
      </c>
      <c r="G18" s="27">
        <v>2</v>
      </c>
      <c r="H18" s="27">
        <v>2</v>
      </c>
      <c r="I18" s="27">
        <v>2</v>
      </c>
      <c r="J18" s="27">
        <v>2</v>
      </c>
      <c r="K18" s="27">
        <v>2</v>
      </c>
      <c r="L18" s="27">
        <v>2</v>
      </c>
      <c r="M18" s="27">
        <v>2</v>
      </c>
    </row>
    <row r="19" spans="1:13" ht="30" customHeight="1" x14ac:dyDescent="0.3">
      <c r="A19" s="31" t="s">
        <v>144</v>
      </c>
      <c r="B19" s="31">
        <v>15</v>
      </c>
      <c r="C19" s="15" t="s">
        <v>145</v>
      </c>
      <c r="D19" s="27">
        <v>3</v>
      </c>
      <c r="E19" s="27">
        <v>3</v>
      </c>
      <c r="F19" s="27">
        <v>2</v>
      </c>
      <c r="G19" s="27">
        <v>3</v>
      </c>
      <c r="H19" s="27">
        <v>2</v>
      </c>
      <c r="I19" s="27">
        <v>3</v>
      </c>
      <c r="J19" s="27">
        <v>2</v>
      </c>
      <c r="K19" s="27">
        <v>2</v>
      </c>
      <c r="L19" s="27">
        <v>3</v>
      </c>
      <c r="M19" s="27">
        <v>3</v>
      </c>
    </row>
    <row r="20" spans="1:13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5.5" customHeight="1" x14ac:dyDescent="0.3">
      <c r="A21" s="28" t="s">
        <v>146</v>
      </c>
      <c r="B21" s="32">
        <f>SUM(B6:B19)</f>
        <v>240</v>
      </c>
      <c r="C21" s="33" t="s">
        <v>147</v>
      </c>
      <c r="D21" s="34">
        <v>2.6</v>
      </c>
      <c r="E21" s="34">
        <v>2.38</v>
      </c>
      <c r="F21" s="34">
        <v>2.48</v>
      </c>
      <c r="G21" s="34">
        <v>2.23</v>
      </c>
      <c r="H21" s="34">
        <v>2.15</v>
      </c>
      <c r="I21" s="34">
        <v>2.15</v>
      </c>
      <c r="J21" s="34">
        <v>2.15</v>
      </c>
      <c r="K21" s="34">
        <v>2</v>
      </c>
      <c r="L21" s="34">
        <v>2</v>
      </c>
      <c r="M21" s="34">
        <v>1.92</v>
      </c>
    </row>
    <row r="22" spans="1:13" ht="24" customHeight="1" x14ac:dyDescent="0.3">
      <c r="A22" s="3" t="s">
        <v>148</v>
      </c>
      <c r="B22" s="3"/>
      <c r="C22" s="35" t="s">
        <v>149</v>
      </c>
      <c r="D22" s="36">
        <f t="shared" ref="D22:M22" si="0">SUMPRODUCT($B$6:$B$19,D6:D19)/$B$21</f>
        <v>2.6666666666666665</v>
      </c>
      <c r="E22" s="36">
        <f t="shared" si="0"/>
        <v>2.4791666666666665</v>
      </c>
      <c r="F22" s="36">
        <f t="shared" si="0"/>
        <v>2.5208333333333335</v>
      </c>
      <c r="G22" s="36">
        <f t="shared" si="0"/>
        <v>2.3125</v>
      </c>
      <c r="H22" s="36">
        <f t="shared" si="0"/>
        <v>2.25</v>
      </c>
      <c r="I22" s="36">
        <f t="shared" si="0"/>
        <v>2.1666666666666665</v>
      </c>
      <c r="J22" s="36">
        <f t="shared" si="0"/>
        <v>2.1875</v>
      </c>
      <c r="K22" s="36">
        <f t="shared" si="0"/>
        <v>1.9791666666666667</v>
      </c>
      <c r="L22" s="36">
        <f t="shared" si="0"/>
        <v>2.0416666666666665</v>
      </c>
      <c r="M22" s="36">
        <f t="shared" si="0"/>
        <v>2.0625</v>
      </c>
    </row>
    <row r="23" spans="1:13" ht="24" customHeight="1" x14ac:dyDescent="0.3">
      <c r="A23" s="3" t="s">
        <v>150</v>
      </c>
      <c r="B23" s="3"/>
      <c r="C23" s="31"/>
      <c r="D23" s="37">
        <f t="shared" ref="D23:M23" si="1">RANK(D21,$D$21:$M$21)</f>
        <v>1</v>
      </c>
      <c r="E23" s="37">
        <f t="shared" si="1"/>
        <v>3</v>
      </c>
      <c r="F23" s="37">
        <f t="shared" si="1"/>
        <v>2</v>
      </c>
      <c r="G23" s="37">
        <f t="shared" si="1"/>
        <v>4</v>
      </c>
      <c r="H23" s="37">
        <f t="shared" si="1"/>
        <v>5</v>
      </c>
      <c r="I23" s="37">
        <f t="shared" si="1"/>
        <v>5</v>
      </c>
      <c r="J23" s="37">
        <f t="shared" si="1"/>
        <v>5</v>
      </c>
      <c r="K23" s="37">
        <f t="shared" si="1"/>
        <v>8</v>
      </c>
      <c r="L23" s="37">
        <f t="shared" si="1"/>
        <v>8</v>
      </c>
      <c r="M23" s="37">
        <f t="shared" si="1"/>
        <v>10</v>
      </c>
    </row>
    <row r="24" spans="1:13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3">
      <c r="A25" s="9" t="s">
        <v>151</v>
      </c>
      <c r="B25" s="9"/>
      <c r="C25" s="9"/>
      <c r="D25" s="9"/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19.5" customHeight="1" x14ac:dyDescent="0.3">
      <c r="A26" s="8" t="s">
        <v>152</v>
      </c>
      <c r="B26" s="8"/>
      <c r="C26" s="8"/>
      <c r="D26" s="25">
        <f>AVERAGE(D21:M21)</f>
        <v>2.2060000000000004</v>
      </c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9.5" customHeight="1" x14ac:dyDescent="0.3">
      <c r="A27" s="8" t="s">
        <v>153</v>
      </c>
      <c r="B27" s="8"/>
      <c r="C27" s="8"/>
      <c r="D27" s="25">
        <f>MAX(D21:M21)</f>
        <v>2.6</v>
      </c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19.5" customHeight="1" x14ac:dyDescent="0.3">
      <c r="A28" s="8" t="s">
        <v>154</v>
      </c>
      <c r="B28" s="8"/>
      <c r="C28" s="8"/>
      <c r="D28" s="25">
        <f>MIN(D21:M21)</f>
        <v>1.92</v>
      </c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19.5" customHeight="1" x14ac:dyDescent="0.3">
      <c r="A29" s="8" t="s">
        <v>155</v>
      </c>
      <c r="B29" s="8"/>
      <c r="C29" s="8"/>
      <c r="D29" s="25">
        <f>_xlfn.STDEV.S(D21:M21)</f>
        <v>0.22041375234368255</v>
      </c>
      <c r="E29" s="12"/>
      <c r="F29" s="12"/>
      <c r="G29" s="12"/>
      <c r="H29" s="12"/>
      <c r="I29" s="12"/>
      <c r="J29" s="12"/>
      <c r="K29" s="12"/>
      <c r="L29" s="12"/>
      <c r="M29" s="12"/>
    </row>
    <row r="31" spans="1:13" ht="15" customHeight="1" x14ac:dyDescent="0.3">
      <c r="A31" s="2" t="s">
        <v>156</v>
      </c>
      <c r="B31" s="2"/>
      <c r="C31" s="2"/>
      <c r="D31" s="2"/>
    </row>
    <row r="32" spans="1:13" ht="19.5" customHeight="1" x14ac:dyDescent="0.3">
      <c r="A32" s="1" t="s">
        <v>157</v>
      </c>
      <c r="B32" s="1"/>
      <c r="C32" s="1"/>
      <c r="D32" s="27">
        <v>1</v>
      </c>
    </row>
    <row r="33" spans="1:4" ht="19.5" customHeight="1" x14ac:dyDescent="0.3">
      <c r="A33" s="1" t="s">
        <v>158</v>
      </c>
      <c r="B33" s="1"/>
      <c r="C33" s="1"/>
      <c r="D33" s="27">
        <v>2</v>
      </c>
    </row>
    <row r="34" spans="1:4" ht="19.5" customHeight="1" x14ac:dyDescent="0.3">
      <c r="A34" s="1" t="s">
        <v>159</v>
      </c>
      <c r="B34" s="1"/>
      <c r="C34" s="1"/>
      <c r="D34" s="27">
        <v>3</v>
      </c>
    </row>
  </sheetData>
  <mergeCells count="19">
    <mergeCell ref="A32:C32"/>
    <mergeCell ref="A33:C33"/>
    <mergeCell ref="A34:C34"/>
    <mergeCell ref="A26:C26"/>
    <mergeCell ref="A27:C27"/>
    <mergeCell ref="A28:C28"/>
    <mergeCell ref="A29:C29"/>
    <mergeCell ref="A31:D31"/>
    <mergeCell ref="A4:J4"/>
    <mergeCell ref="K4:M4"/>
    <mergeCell ref="A22:B22"/>
    <mergeCell ref="A23:B23"/>
    <mergeCell ref="A25:D25"/>
    <mergeCell ref="A1:J1"/>
    <mergeCell ref="K1:M1"/>
    <mergeCell ref="A2:J2"/>
    <mergeCell ref="K2:M2"/>
    <mergeCell ref="A3:J3"/>
    <mergeCell ref="K3:M3"/>
  </mergeCells>
  <conditionalFormatting sqref="D21:M21">
    <cfRule type="expression" dxfId="34" priority="2">
      <formula>D21&gt;=2.5</formula>
    </cfRule>
    <cfRule type="expression" dxfId="33" priority="3">
      <formula>D21&gt;=2</formula>
    </cfRule>
    <cfRule type="expression" dxfId="32" priority="4">
      <formula>D21&lt;2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K28"/>
  <sheetViews>
    <sheetView showGridLines="0" topLeftCell="A7" zoomScale="55" zoomScaleNormal="55" workbookViewId="0">
      <selection sqref="A1:H1"/>
    </sheetView>
  </sheetViews>
  <sheetFormatPr baseColWidth="10" defaultColWidth="8.59765625" defaultRowHeight="15.6" x14ac:dyDescent="0.3"/>
  <cols>
    <col min="1" max="1" width="10" customWidth="1"/>
    <col min="2" max="2" width="36" customWidth="1"/>
    <col min="3" max="3" width="58" customWidth="1"/>
    <col min="4" max="5" width="14" customWidth="1"/>
    <col min="6" max="6" width="12" customWidth="1"/>
    <col min="7" max="8" width="14" customWidth="1"/>
    <col min="9" max="9" width="34" customWidth="1"/>
    <col min="10" max="10" width="58" customWidth="1"/>
    <col min="11" max="11" width="22" customWidth="1"/>
  </cols>
  <sheetData>
    <row r="1" spans="1:11" ht="21.75" customHeight="1" x14ac:dyDescent="0.3">
      <c r="A1" s="7" t="s">
        <v>160</v>
      </c>
      <c r="B1" s="7"/>
      <c r="C1" s="7"/>
      <c r="D1" s="7"/>
      <c r="E1" s="7"/>
      <c r="F1" s="7"/>
      <c r="G1" s="7"/>
      <c r="H1" s="7"/>
      <c r="I1" s="10" t="s">
        <v>1</v>
      </c>
      <c r="J1" s="10"/>
      <c r="K1" s="10"/>
    </row>
    <row r="2" spans="1:11" ht="21.75" customHeight="1" x14ac:dyDescent="0.3">
      <c r="A2" s="6" t="s">
        <v>161</v>
      </c>
      <c r="B2" s="6"/>
      <c r="C2" s="6"/>
      <c r="D2" s="6"/>
      <c r="E2" s="6"/>
      <c r="F2" s="6"/>
      <c r="G2" s="6"/>
      <c r="H2" s="6"/>
      <c r="I2" s="10" t="s">
        <v>3</v>
      </c>
      <c r="J2" s="10"/>
      <c r="K2" s="10"/>
    </row>
    <row r="3" spans="1:11" ht="21.75" customHeight="1" x14ac:dyDescent="0.3">
      <c r="A3" s="5" t="s">
        <v>162</v>
      </c>
      <c r="B3" s="5"/>
      <c r="C3" s="5"/>
      <c r="D3" s="5"/>
      <c r="E3" s="5"/>
      <c r="F3" s="5"/>
      <c r="G3" s="5"/>
      <c r="H3" s="5"/>
      <c r="I3" s="10" t="s">
        <v>5</v>
      </c>
      <c r="J3" s="10"/>
      <c r="K3" s="10"/>
    </row>
    <row r="4" spans="1:11" ht="21.75" customHeight="1" x14ac:dyDescent="0.3">
      <c r="A4" s="4" t="s">
        <v>163</v>
      </c>
      <c r="B4" s="4"/>
      <c r="C4" s="4"/>
      <c r="D4" s="4"/>
      <c r="E4" s="4"/>
      <c r="F4" s="4"/>
      <c r="G4" s="4"/>
      <c r="H4" s="4"/>
      <c r="I4" s="10" t="s">
        <v>164</v>
      </c>
      <c r="J4" s="10"/>
      <c r="K4" s="10"/>
    </row>
    <row r="5" spans="1:11" ht="36" customHeight="1" x14ac:dyDescent="0.3">
      <c r="A5" s="13" t="s">
        <v>165</v>
      </c>
      <c r="B5" s="13" t="s">
        <v>166</v>
      </c>
      <c r="C5" s="13" t="s">
        <v>167</v>
      </c>
      <c r="D5" s="13" t="s">
        <v>168</v>
      </c>
      <c r="E5" s="13" t="s">
        <v>169</v>
      </c>
      <c r="F5" s="13" t="s">
        <v>170</v>
      </c>
      <c r="G5" s="13" t="s">
        <v>171</v>
      </c>
      <c r="H5" s="13" t="s">
        <v>172</v>
      </c>
      <c r="I5" s="13" t="s">
        <v>173</v>
      </c>
      <c r="J5" s="13" t="s">
        <v>174</v>
      </c>
      <c r="K5" s="13" t="s">
        <v>175</v>
      </c>
    </row>
    <row r="6" spans="1:11" ht="45.75" customHeight="1" x14ac:dyDescent="0.3">
      <c r="A6" s="31" t="s">
        <v>176</v>
      </c>
      <c r="B6" s="15" t="s">
        <v>177</v>
      </c>
      <c r="C6" s="15" t="s">
        <v>178</v>
      </c>
      <c r="D6" s="27" t="s">
        <v>179</v>
      </c>
      <c r="E6" s="27">
        <v>2</v>
      </c>
      <c r="F6" s="27">
        <v>3</v>
      </c>
      <c r="G6" s="39">
        <f t="shared" ref="G6:G13" si="0">E6*F6</f>
        <v>6</v>
      </c>
      <c r="H6" s="40" t="str">
        <f t="shared" ref="H6:H13" si="1">IF(G6&gt;=9,"Crítico",IF(G6&gt;=6,"Alto","Medio"))</f>
        <v>Alto</v>
      </c>
      <c r="I6" s="15" t="s">
        <v>180</v>
      </c>
      <c r="J6" s="15" t="s">
        <v>181</v>
      </c>
      <c r="K6" s="15" t="s">
        <v>182</v>
      </c>
    </row>
    <row r="7" spans="1:11" ht="45.75" customHeight="1" x14ac:dyDescent="0.3">
      <c r="A7" s="31" t="s">
        <v>183</v>
      </c>
      <c r="B7" s="15" t="s">
        <v>184</v>
      </c>
      <c r="C7" s="15" t="s">
        <v>185</v>
      </c>
      <c r="D7" s="27" t="s">
        <v>179</v>
      </c>
      <c r="E7" s="27">
        <v>3</v>
      </c>
      <c r="F7" s="27">
        <v>3</v>
      </c>
      <c r="G7" s="39">
        <f t="shared" si="0"/>
        <v>9</v>
      </c>
      <c r="H7" s="40" t="str">
        <f t="shared" si="1"/>
        <v>Crítico</v>
      </c>
      <c r="I7" s="15" t="s">
        <v>186</v>
      </c>
      <c r="J7" s="15" t="s">
        <v>187</v>
      </c>
      <c r="K7" s="15" t="s">
        <v>188</v>
      </c>
    </row>
    <row r="8" spans="1:11" ht="45.75" customHeight="1" x14ac:dyDescent="0.3">
      <c r="A8" s="31" t="s">
        <v>189</v>
      </c>
      <c r="B8" s="15" t="s">
        <v>190</v>
      </c>
      <c r="C8" s="15" t="s">
        <v>191</v>
      </c>
      <c r="D8" s="27" t="s">
        <v>179</v>
      </c>
      <c r="E8" s="27">
        <v>3</v>
      </c>
      <c r="F8" s="27">
        <v>3</v>
      </c>
      <c r="G8" s="39">
        <f t="shared" si="0"/>
        <v>9</v>
      </c>
      <c r="H8" s="40" t="str">
        <f t="shared" si="1"/>
        <v>Crítico</v>
      </c>
      <c r="I8" s="15" t="s">
        <v>192</v>
      </c>
      <c r="J8" s="15" t="s">
        <v>193</v>
      </c>
      <c r="K8" s="15" t="s">
        <v>194</v>
      </c>
    </row>
    <row r="9" spans="1:11" ht="45.75" customHeight="1" x14ac:dyDescent="0.3">
      <c r="A9" s="31" t="s">
        <v>195</v>
      </c>
      <c r="B9" s="15" t="s">
        <v>196</v>
      </c>
      <c r="C9" s="15" t="s">
        <v>197</v>
      </c>
      <c r="D9" s="27" t="s">
        <v>179</v>
      </c>
      <c r="E9" s="27">
        <v>2</v>
      </c>
      <c r="F9" s="27">
        <v>3</v>
      </c>
      <c r="G9" s="39">
        <f t="shared" si="0"/>
        <v>6</v>
      </c>
      <c r="H9" s="40" t="str">
        <f t="shared" si="1"/>
        <v>Alto</v>
      </c>
      <c r="I9" s="15" t="s">
        <v>198</v>
      </c>
      <c r="J9" s="15" t="s">
        <v>199</v>
      </c>
      <c r="K9" s="15" t="s">
        <v>200</v>
      </c>
    </row>
    <row r="10" spans="1:11" ht="45.75" customHeight="1" x14ac:dyDescent="0.3">
      <c r="A10" s="31" t="s">
        <v>201</v>
      </c>
      <c r="B10" s="15" t="s">
        <v>202</v>
      </c>
      <c r="C10" s="15" t="s">
        <v>203</v>
      </c>
      <c r="D10" s="27" t="s">
        <v>179</v>
      </c>
      <c r="E10" s="27">
        <v>2</v>
      </c>
      <c r="F10" s="27">
        <v>3</v>
      </c>
      <c r="G10" s="39">
        <f t="shared" si="0"/>
        <v>6</v>
      </c>
      <c r="H10" s="40" t="str">
        <f t="shared" si="1"/>
        <v>Alto</v>
      </c>
      <c r="I10" s="15" t="s">
        <v>204</v>
      </c>
      <c r="J10" s="15" t="s">
        <v>205</v>
      </c>
      <c r="K10" s="15" t="s">
        <v>206</v>
      </c>
    </row>
    <row r="11" spans="1:11" ht="45.75" customHeight="1" x14ac:dyDescent="0.3">
      <c r="A11" s="31" t="s">
        <v>207</v>
      </c>
      <c r="B11" s="15" t="s">
        <v>208</v>
      </c>
      <c r="C11" s="15" t="s">
        <v>209</v>
      </c>
      <c r="D11" s="27" t="s">
        <v>210</v>
      </c>
      <c r="E11" s="27">
        <v>3</v>
      </c>
      <c r="F11" s="27">
        <v>2</v>
      </c>
      <c r="G11" s="39">
        <f t="shared" si="0"/>
        <v>6</v>
      </c>
      <c r="H11" s="40" t="str">
        <f t="shared" si="1"/>
        <v>Alto</v>
      </c>
      <c r="I11" s="15" t="s">
        <v>211</v>
      </c>
      <c r="J11" s="15" t="s">
        <v>212</v>
      </c>
      <c r="K11" s="15" t="s">
        <v>213</v>
      </c>
    </row>
    <row r="12" spans="1:11" ht="45.75" customHeight="1" x14ac:dyDescent="0.3">
      <c r="A12" s="31" t="s">
        <v>214</v>
      </c>
      <c r="B12" s="15" t="s">
        <v>215</v>
      </c>
      <c r="C12" s="15" t="s">
        <v>216</v>
      </c>
      <c r="D12" s="27" t="s">
        <v>210</v>
      </c>
      <c r="E12" s="27">
        <v>2</v>
      </c>
      <c r="F12" s="27">
        <v>3</v>
      </c>
      <c r="G12" s="39">
        <f t="shared" si="0"/>
        <v>6</v>
      </c>
      <c r="H12" s="40" t="str">
        <f t="shared" si="1"/>
        <v>Alto</v>
      </c>
      <c r="I12" s="15" t="s">
        <v>217</v>
      </c>
      <c r="J12" s="15" t="s">
        <v>218</v>
      </c>
      <c r="K12" s="15" t="s">
        <v>219</v>
      </c>
    </row>
    <row r="13" spans="1:11" ht="45.75" customHeight="1" x14ac:dyDescent="0.3">
      <c r="A13" s="31" t="s">
        <v>220</v>
      </c>
      <c r="B13" s="15" t="s">
        <v>221</v>
      </c>
      <c r="C13" s="15" t="s">
        <v>222</v>
      </c>
      <c r="D13" s="27" t="s">
        <v>179</v>
      </c>
      <c r="E13" s="27">
        <v>2</v>
      </c>
      <c r="F13" s="27">
        <v>2</v>
      </c>
      <c r="G13" s="39">
        <f t="shared" si="0"/>
        <v>4</v>
      </c>
      <c r="H13" s="40" t="str">
        <f t="shared" si="1"/>
        <v>Medio</v>
      </c>
      <c r="I13" s="15" t="s">
        <v>223</v>
      </c>
      <c r="J13" s="15" t="s">
        <v>224</v>
      </c>
      <c r="K13" s="15" t="s">
        <v>219</v>
      </c>
    </row>
    <row r="14" spans="1:1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21.75" customHeight="1" x14ac:dyDescent="0.3">
      <c r="A15" s="9" t="s">
        <v>225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30" customHeight="1" x14ac:dyDescent="0.3">
      <c r="A16" s="13" t="s">
        <v>8</v>
      </c>
      <c r="B16" s="13" t="s">
        <v>226</v>
      </c>
      <c r="C16" s="13" t="s">
        <v>227</v>
      </c>
      <c r="D16" s="13" t="s">
        <v>228</v>
      </c>
      <c r="E16" s="76" t="s">
        <v>229</v>
      </c>
      <c r="F16" s="76"/>
      <c r="G16" s="76"/>
      <c r="H16" s="76"/>
      <c r="I16" s="76"/>
      <c r="J16" s="76"/>
      <c r="K16" s="76"/>
    </row>
    <row r="17" spans="1:11" ht="24" customHeight="1" x14ac:dyDescent="0.3">
      <c r="A17" s="31">
        <v>1</v>
      </c>
      <c r="B17" s="15" t="s">
        <v>230</v>
      </c>
      <c r="C17" s="25">
        <v>1.9</v>
      </c>
      <c r="D17" s="14" t="s">
        <v>231</v>
      </c>
      <c r="E17" s="1" t="s">
        <v>232</v>
      </c>
      <c r="F17" s="1"/>
      <c r="G17" s="1"/>
      <c r="H17" s="1"/>
      <c r="I17" s="1"/>
      <c r="J17" s="1"/>
      <c r="K17" s="1"/>
    </row>
    <row r="18" spans="1:11" ht="24" customHeight="1" x14ac:dyDescent="0.3">
      <c r="A18" s="31">
        <v>2</v>
      </c>
      <c r="B18" s="15" t="s">
        <v>233</v>
      </c>
      <c r="C18" s="25">
        <v>2.1</v>
      </c>
      <c r="D18" s="14" t="s">
        <v>234</v>
      </c>
      <c r="E18" s="1" t="s">
        <v>235</v>
      </c>
      <c r="F18" s="1"/>
      <c r="G18" s="1"/>
      <c r="H18" s="1"/>
      <c r="I18" s="1"/>
      <c r="J18" s="1"/>
      <c r="K18" s="1"/>
    </row>
    <row r="19" spans="1:11" ht="24" customHeight="1" x14ac:dyDescent="0.3">
      <c r="A19" s="31">
        <v>3</v>
      </c>
      <c r="B19" s="15" t="s">
        <v>236</v>
      </c>
      <c r="C19" s="25">
        <v>1.85</v>
      </c>
      <c r="D19" s="14" t="s">
        <v>231</v>
      </c>
      <c r="E19" s="1" t="s">
        <v>237</v>
      </c>
      <c r="F19" s="1"/>
      <c r="G19" s="1"/>
      <c r="H19" s="1"/>
      <c r="I19" s="1"/>
      <c r="J19" s="1"/>
      <c r="K19" s="1"/>
    </row>
    <row r="20" spans="1:11" ht="24" customHeight="1" x14ac:dyDescent="0.3">
      <c r="A20" s="31">
        <v>4</v>
      </c>
      <c r="B20" s="15" t="s">
        <v>238</v>
      </c>
      <c r="C20" s="25">
        <v>1.6</v>
      </c>
      <c r="D20" s="14" t="s">
        <v>239</v>
      </c>
      <c r="E20" s="1" t="s">
        <v>240</v>
      </c>
      <c r="F20" s="1"/>
      <c r="G20" s="1"/>
      <c r="H20" s="1"/>
      <c r="I20" s="1"/>
      <c r="J20" s="1"/>
      <c r="K20" s="1"/>
    </row>
    <row r="21" spans="1:11" ht="24" customHeight="1" x14ac:dyDescent="0.3">
      <c r="A21" s="31">
        <v>5</v>
      </c>
      <c r="B21" s="15" t="s">
        <v>241</v>
      </c>
      <c r="C21" s="25">
        <v>1.95</v>
      </c>
      <c r="D21" s="14" t="s">
        <v>231</v>
      </c>
      <c r="E21" s="1" t="s">
        <v>242</v>
      </c>
      <c r="F21" s="1"/>
      <c r="G21" s="1"/>
      <c r="H21" s="1"/>
      <c r="I21" s="1"/>
      <c r="J21" s="1"/>
      <c r="K21" s="1"/>
    </row>
    <row r="22" spans="1:11" ht="24" customHeight="1" x14ac:dyDescent="0.3">
      <c r="A22" s="31">
        <v>6</v>
      </c>
      <c r="B22" s="15" t="s">
        <v>243</v>
      </c>
      <c r="C22" s="25">
        <v>1.75</v>
      </c>
      <c r="D22" s="14" t="s">
        <v>239</v>
      </c>
      <c r="E22" s="1" t="s">
        <v>244</v>
      </c>
      <c r="F22" s="1"/>
      <c r="G22" s="1"/>
      <c r="H22" s="1"/>
      <c r="I22" s="1"/>
      <c r="J22" s="1"/>
      <c r="K22" s="1"/>
    </row>
    <row r="23" spans="1:11" ht="24" customHeight="1" x14ac:dyDescent="0.3">
      <c r="A23" s="31">
        <v>7</v>
      </c>
      <c r="B23" s="15" t="s">
        <v>245</v>
      </c>
      <c r="C23" s="25">
        <v>1.5</v>
      </c>
      <c r="D23" s="14" t="s">
        <v>246</v>
      </c>
      <c r="E23" s="1" t="s">
        <v>247</v>
      </c>
      <c r="F23" s="1"/>
      <c r="G23" s="1"/>
      <c r="H23" s="1"/>
      <c r="I23" s="1"/>
      <c r="J23" s="1"/>
      <c r="K23" s="1"/>
    </row>
    <row r="24" spans="1:11" ht="24" customHeight="1" x14ac:dyDescent="0.3">
      <c r="A24" s="31">
        <v>8</v>
      </c>
      <c r="B24" s="15" t="s">
        <v>248</v>
      </c>
      <c r="C24" s="25">
        <v>1.3</v>
      </c>
      <c r="D24" s="14" t="s">
        <v>249</v>
      </c>
      <c r="E24" s="1" t="s">
        <v>250</v>
      </c>
      <c r="F24" s="1"/>
      <c r="G24" s="1"/>
      <c r="H24" s="1"/>
      <c r="I24" s="1"/>
      <c r="J24" s="1"/>
      <c r="K24" s="1"/>
    </row>
    <row r="25" spans="1:11" ht="24" customHeight="1" x14ac:dyDescent="0.3">
      <c r="A25" s="31">
        <v>9</v>
      </c>
      <c r="B25" s="15" t="s">
        <v>251</v>
      </c>
      <c r="C25" s="25">
        <v>1.4</v>
      </c>
      <c r="D25" s="14" t="s">
        <v>246</v>
      </c>
      <c r="E25" s="1" t="s">
        <v>252</v>
      </c>
      <c r="F25" s="1"/>
      <c r="G25" s="1"/>
      <c r="H25" s="1"/>
      <c r="I25" s="1"/>
      <c r="J25" s="1"/>
      <c r="K25" s="1"/>
    </row>
    <row r="26" spans="1:11" ht="24" customHeight="1" x14ac:dyDescent="0.3">
      <c r="A26" s="31">
        <v>10</v>
      </c>
      <c r="B26" s="15" t="s">
        <v>253</v>
      </c>
      <c r="C26" s="25">
        <v>1.2</v>
      </c>
      <c r="D26" s="14" t="s">
        <v>254</v>
      </c>
      <c r="E26" s="1" t="s">
        <v>255</v>
      </c>
      <c r="F26" s="1"/>
      <c r="G26" s="1"/>
      <c r="H26" s="1"/>
      <c r="I26" s="1"/>
      <c r="J26" s="1"/>
      <c r="K26" s="1"/>
    </row>
    <row r="27" spans="1:1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24" customHeight="1" x14ac:dyDescent="0.3">
      <c r="A28" s="77" t="s">
        <v>256</v>
      </c>
      <c r="B28" s="77"/>
      <c r="C28" s="42">
        <f>AVERAGE(C17:C26)</f>
        <v>1.655</v>
      </c>
      <c r="D28" s="12"/>
      <c r="E28" s="12"/>
      <c r="F28" s="12"/>
      <c r="G28" s="12"/>
      <c r="H28" s="12"/>
      <c r="I28" s="12"/>
      <c r="J28" s="12"/>
      <c r="K28" s="12"/>
    </row>
  </sheetData>
  <mergeCells count="21">
    <mergeCell ref="E23:K23"/>
    <mergeCell ref="E24:K24"/>
    <mergeCell ref="E25:K25"/>
    <mergeCell ref="E26:K26"/>
    <mergeCell ref="A28:B28"/>
    <mergeCell ref="E18:K18"/>
    <mergeCell ref="E19:K19"/>
    <mergeCell ref="E20:K20"/>
    <mergeCell ref="E21:K21"/>
    <mergeCell ref="E22:K22"/>
    <mergeCell ref="A4:H4"/>
    <mergeCell ref="I4:K4"/>
    <mergeCell ref="A15:K15"/>
    <mergeCell ref="E16:K16"/>
    <mergeCell ref="E17:K17"/>
    <mergeCell ref="A1:H1"/>
    <mergeCell ref="I1:K1"/>
    <mergeCell ref="A2:H2"/>
    <mergeCell ref="I2:K2"/>
    <mergeCell ref="A3:H3"/>
    <mergeCell ref="I3:K3"/>
  </mergeCells>
  <conditionalFormatting sqref="H6:H13">
    <cfRule type="expression" dxfId="31" priority="2">
      <formula>H6="Crítico"</formula>
    </cfRule>
    <cfRule type="expression" dxfId="30" priority="3">
      <formula>H6="Alto"</formula>
    </cfRule>
    <cfRule type="expression" dxfId="29" priority="4">
      <formula>H6="Medio"</formula>
    </cfRule>
  </conditionalFormatting>
  <conditionalFormatting sqref="G6:G13">
    <cfRule type="expression" dxfId="28" priority="5">
      <formula>G6&gt;=9</formula>
    </cfRule>
    <cfRule type="expression" dxfId="27" priority="6">
      <formula>G6&gt;=6</formula>
    </cfRule>
    <cfRule type="expression" dxfId="26" priority="7">
      <formula>G6&lt;6</formula>
    </cfRule>
  </conditionalFormatting>
  <conditionalFormatting sqref="C17:C26">
    <cfRule type="expression" dxfId="25" priority="8">
      <formula>C17&gt;=1.85</formula>
    </cfRule>
    <cfRule type="expression" dxfId="24" priority="9">
      <formula>C17&gt;=1.5</formula>
    </cfRule>
    <cfRule type="expression" dxfId="23" priority="10">
      <formula>C17&lt;1.5</formula>
    </cfRule>
  </conditionalFormatting>
  <conditionalFormatting sqref="D17:D26">
    <cfRule type="expression" dxfId="22" priority="11">
      <formula>D17="Crítico"</formula>
    </cfRule>
    <cfRule type="expression" dxfId="21" priority="12">
      <formula>D17="Alto"</formula>
    </cfRule>
    <cfRule type="expression" dxfId="20" priority="13">
      <formula>D17="Medio-Alto"</formula>
    </cfRule>
    <cfRule type="expression" dxfId="19" priority="14">
      <formula>D17="Medio"</formula>
    </cfRule>
    <cfRule type="expression" dxfId="18" priority="15">
      <formula>D17="Bajo-Medio"</formula>
    </cfRule>
    <cfRule type="expression" dxfId="17" priority="16">
      <formula>D17="Bajo"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L21"/>
  <sheetViews>
    <sheetView showGridLines="0" topLeftCell="A10" zoomScale="85" zoomScaleNormal="85" workbookViewId="0">
      <selection sqref="A1:J1"/>
    </sheetView>
  </sheetViews>
  <sheetFormatPr baseColWidth="10" defaultColWidth="8.59765625" defaultRowHeight="15.6" x14ac:dyDescent="0.3"/>
  <cols>
    <col min="1" max="1" width="8" customWidth="1"/>
    <col min="2" max="2" width="36" customWidth="1"/>
    <col min="3" max="9" width="15" customWidth="1"/>
    <col min="10" max="10" width="18" customWidth="1"/>
    <col min="11" max="11" width="13" customWidth="1"/>
    <col min="12" max="12" width="22" customWidth="1"/>
  </cols>
  <sheetData>
    <row r="1" spans="1:12" ht="21.75" customHeight="1" x14ac:dyDescent="0.3">
      <c r="A1" s="7" t="s">
        <v>257</v>
      </c>
      <c r="B1" s="7"/>
      <c r="C1" s="7"/>
      <c r="D1" s="7"/>
      <c r="E1" s="7"/>
      <c r="F1" s="7"/>
      <c r="G1" s="7"/>
      <c r="H1" s="7"/>
      <c r="I1" s="7"/>
      <c r="J1" s="7"/>
      <c r="K1" s="10" t="s">
        <v>1</v>
      </c>
      <c r="L1" s="10"/>
    </row>
    <row r="2" spans="1:12" ht="21.75" customHeight="1" x14ac:dyDescent="0.3">
      <c r="A2" s="6" t="s">
        <v>258</v>
      </c>
      <c r="B2" s="6"/>
      <c r="C2" s="6"/>
      <c r="D2" s="6"/>
      <c r="E2" s="6"/>
      <c r="F2" s="6"/>
      <c r="G2" s="6"/>
      <c r="H2" s="6"/>
      <c r="I2" s="6"/>
      <c r="J2" s="6"/>
      <c r="K2" s="10" t="s">
        <v>3</v>
      </c>
      <c r="L2" s="10"/>
    </row>
    <row r="3" spans="1:12" ht="21.75" customHeight="1" x14ac:dyDescent="0.3">
      <c r="A3" s="5" t="s">
        <v>259</v>
      </c>
      <c r="B3" s="5"/>
      <c r="C3" s="5"/>
      <c r="D3" s="5"/>
      <c r="E3" s="5"/>
      <c r="F3" s="5"/>
      <c r="G3" s="5"/>
      <c r="H3" s="5"/>
      <c r="I3" s="5"/>
      <c r="J3" s="5"/>
      <c r="K3" s="10" t="s">
        <v>5</v>
      </c>
      <c r="L3" s="10"/>
    </row>
    <row r="4" spans="1:12" ht="21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10" t="s">
        <v>260</v>
      </c>
      <c r="L4" s="10"/>
    </row>
    <row r="5" spans="1:12" ht="48" customHeight="1" x14ac:dyDescent="0.3">
      <c r="A5" s="13" t="s">
        <v>8</v>
      </c>
      <c r="B5" s="13" t="s">
        <v>226</v>
      </c>
      <c r="C5" s="13" t="s">
        <v>261</v>
      </c>
      <c r="D5" s="13" t="s">
        <v>262</v>
      </c>
      <c r="E5" s="13" t="s">
        <v>263</v>
      </c>
      <c r="F5" s="13" t="s">
        <v>264</v>
      </c>
      <c r="G5" s="13" t="s">
        <v>265</v>
      </c>
      <c r="H5" s="13" t="s">
        <v>266</v>
      </c>
      <c r="I5" s="13" t="s">
        <v>267</v>
      </c>
      <c r="J5" s="13" t="s">
        <v>268</v>
      </c>
      <c r="K5" s="13" t="s">
        <v>269</v>
      </c>
      <c r="L5" s="13" t="s">
        <v>270</v>
      </c>
    </row>
    <row r="6" spans="1:12" ht="21.75" customHeight="1" x14ac:dyDescent="0.3">
      <c r="A6" s="31" t="s">
        <v>271</v>
      </c>
      <c r="B6" s="31"/>
      <c r="C6" s="43">
        <v>0.3</v>
      </c>
      <c r="D6" s="43">
        <v>0.1</v>
      </c>
      <c r="E6" s="43">
        <v>0.1</v>
      </c>
      <c r="F6" s="43">
        <v>0.2</v>
      </c>
      <c r="G6" s="43">
        <v>0.2</v>
      </c>
      <c r="H6" s="43">
        <v>0.1</v>
      </c>
      <c r="I6" s="43">
        <f>SUM(C6:H6)</f>
        <v>0.99999999999999989</v>
      </c>
      <c r="J6" s="31"/>
      <c r="K6" s="31"/>
      <c r="L6" s="31"/>
    </row>
    <row r="7" spans="1:12" ht="24" customHeight="1" x14ac:dyDescent="0.3">
      <c r="A7" s="31">
        <v>1</v>
      </c>
      <c r="B7" s="15" t="s">
        <v>230</v>
      </c>
      <c r="C7" s="27">
        <v>3</v>
      </c>
      <c r="D7" s="27">
        <v>3</v>
      </c>
      <c r="E7" s="27">
        <v>3</v>
      </c>
      <c r="F7" s="27">
        <v>2</v>
      </c>
      <c r="G7" s="27">
        <v>3</v>
      </c>
      <c r="H7" s="27">
        <v>3</v>
      </c>
      <c r="I7" s="34">
        <f t="shared" ref="I7:I16" si="0">C7*$C$6+D7*$D$6+E7*$E$6+F7*$F$6+G7*$G$6+H7*$H$6</f>
        <v>2.8</v>
      </c>
      <c r="J7" s="40" t="str">
        <f t="shared" ref="J7:J16" si="1">IF(I7&gt;=2,"Seleccionado",IF(I7&gt;=1.5,"Condicionado","Diferido"))</f>
        <v>Seleccionado</v>
      </c>
      <c r="K7" s="39">
        <f t="shared" ref="K7:K16" si="2">RANK(I7,$I$7:$I$16)</f>
        <v>1</v>
      </c>
      <c r="L7" s="15" t="s">
        <v>272</v>
      </c>
    </row>
    <row r="8" spans="1:12" ht="24" customHeight="1" x14ac:dyDescent="0.3">
      <c r="A8" s="31">
        <v>2</v>
      </c>
      <c r="B8" s="15" t="s">
        <v>233</v>
      </c>
      <c r="C8" s="27">
        <v>3</v>
      </c>
      <c r="D8" s="27">
        <v>3</v>
      </c>
      <c r="E8" s="27">
        <v>3</v>
      </c>
      <c r="F8" s="27">
        <v>2</v>
      </c>
      <c r="G8" s="27">
        <v>3</v>
      </c>
      <c r="H8" s="27">
        <v>2</v>
      </c>
      <c r="I8" s="34">
        <f t="shared" si="0"/>
        <v>2.7</v>
      </c>
      <c r="J8" s="40" t="str">
        <f t="shared" si="1"/>
        <v>Seleccionado</v>
      </c>
      <c r="K8" s="39">
        <f t="shared" si="2"/>
        <v>2</v>
      </c>
      <c r="L8" s="15" t="s">
        <v>273</v>
      </c>
    </row>
    <row r="9" spans="1:12" ht="24" customHeight="1" x14ac:dyDescent="0.3">
      <c r="A9" s="31">
        <v>3</v>
      </c>
      <c r="B9" s="15" t="s">
        <v>236</v>
      </c>
      <c r="C9" s="27">
        <v>3</v>
      </c>
      <c r="D9" s="27">
        <v>2</v>
      </c>
      <c r="E9" s="27">
        <v>3</v>
      </c>
      <c r="F9" s="27">
        <v>2</v>
      </c>
      <c r="G9" s="27">
        <v>3</v>
      </c>
      <c r="H9" s="27">
        <v>3</v>
      </c>
      <c r="I9" s="34">
        <f t="shared" si="0"/>
        <v>2.7</v>
      </c>
      <c r="J9" s="40" t="str">
        <f t="shared" si="1"/>
        <v>Seleccionado</v>
      </c>
      <c r="K9" s="39">
        <f t="shared" si="2"/>
        <v>2</v>
      </c>
      <c r="L9" s="15" t="s">
        <v>272</v>
      </c>
    </row>
    <row r="10" spans="1:12" ht="24" customHeight="1" x14ac:dyDescent="0.3">
      <c r="A10" s="31">
        <v>4</v>
      </c>
      <c r="B10" s="15" t="s">
        <v>274</v>
      </c>
      <c r="C10" s="27">
        <v>3</v>
      </c>
      <c r="D10" s="27">
        <v>3</v>
      </c>
      <c r="E10" s="27">
        <v>2</v>
      </c>
      <c r="F10" s="27">
        <v>1</v>
      </c>
      <c r="G10" s="27">
        <v>2</v>
      </c>
      <c r="H10" s="27">
        <v>2</v>
      </c>
      <c r="I10" s="34">
        <f t="shared" si="0"/>
        <v>2.2000000000000002</v>
      </c>
      <c r="J10" s="40" t="str">
        <f t="shared" si="1"/>
        <v>Seleccionado</v>
      </c>
      <c r="K10" s="39">
        <f t="shared" si="2"/>
        <v>4</v>
      </c>
      <c r="L10" s="15" t="s">
        <v>275</v>
      </c>
    </row>
    <row r="11" spans="1:12" ht="24" customHeight="1" x14ac:dyDescent="0.3">
      <c r="A11" s="31">
        <v>5</v>
      </c>
      <c r="B11" s="15" t="s">
        <v>276</v>
      </c>
      <c r="C11" s="27">
        <v>2</v>
      </c>
      <c r="D11" s="27">
        <v>3</v>
      </c>
      <c r="E11" s="27">
        <v>2</v>
      </c>
      <c r="F11" s="27">
        <v>2</v>
      </c>
      <c r="G11" s="27">
        <v>2</v>
      </c>
      <c r="H11" s="27">
        <v>2</v>
      </c>
      <c r="I11" s="34">
        <f t="shared" si="0"/>
        <v>2.1</v>
      </c>
      <c r="J11" s="40" t="str">
        <f t="shared" si="1"/>
        <v>Seleccionado</v>
      </c>
      <c r="K11" s="39">
        <f t="shared" si="2"/>
        <v>5</v>
      </c>
      <c r="L11" s="15" t="s">
        <v>273</v>
      </c>
    </row>
    <row r="12" spans="1:12" ht="24" customHeight="1" x14ac:dyDescent="0.3">
      <c r="A12" s="31">
        <v>6</v>
      </c>
      <c r="B12" s="15" t="s">
        <v>277</v>
      </c>
      <c r="C12" s="27">
        <v>2</v>
      </c>
      <c r="D12" s="27">
        <v>2</v>
      </c>
      <c r="E12" s="27">
        <v>3</v>
      </c>
      <c r="F12" s="27">
        <v>2</v>
      </c>
      <c r="G12" s="27">
        <v>2</v>
      </c>
      <c r="H12" s="27">
        <v>2</v>
      </c>
      <c r="I12" s="34">
        <f t="shared" si="0"/>
        <v>2.1</v>
      </c>
      <c r="J12" s="40" t="str">
        <f t="shared" si="1"/>
        <v>Seleccionado</v>
      </c>
      <c r="K12" s="39">
        <f t="shared" si="2"/>
        <v>5</v>
      </c>
      <c r="L12" s="15" t="s">
        <v>275</v>
      </c>
    </row>
    <row r="13" spans="1:12" ht="24" customHeight="1" x14ac:dyDescent="0.3">
      <c r="A13" s="31">
        <v>7</v>
      </c>
      <c r="B13" s="15" t="s">
        <v>245</v>
      </c>
      <c r="C13" s="27">
        <v>2</v>
      </c>
      <c r="D13" s="27">
        <v>3</v>
      </c>
      <c r="E13" s="27">
        <v>2</v>
      </c>
      <c r="F13" s="27">
        <v>2</v>
      </c>
      <c r="G13" s="27">
        <v>2</v>
      </c>
      <c r="H13" s="27">
        <v>2</v>
      </c>
      <c r="I13" s="34">
        <f t="shared" si="0"/>
        <v>2.1</v>
      </c>
      <c r="J13" s="40" t="str">
        <f t="shared" si="1"/>
        <v>Seleccionado</v>
      </c>
      <c r="K13" s="39">
        <f t="shared" si="2"/>
        <v>5</v>
      </c>
      <c r="L13" s="15" t="s">
        <v>275</v>
      </c>
    </row>
    <row r="14" spans="1:12" ht="24" customHeight="1" x14ac:dyDescent="0.3">
      <c r="A14" s="31">
        <v>8</v>
      </c>
      <c r="B14" s="15" t="s">
        <v>278</v>
      </c>
      <c r="C14" s="27">
        <v>2</v>
      </c>
      <c r="D14" s="27">
        <v>2</v>
      </c>
      <c r="E14" s="27">
        <v>2</v>
      </c>
      <c r="F14" s="27">
        <v>1</v>
      </c>
      <c r="G14" s="27">
        <v>2</v>
      </c>
      <c r="H14" s="27">
        <v>1</v>
      </c>
      <c r="I14" s="34">
        <f t="shared" si="0"/>
        <v>1.7000000000000002</v>
      </c>
      <c r="J14" s="40" t="str">
        <f t="shared" si="1"/>
        <v>Condicionado</v>
      </c>
      <c r="K14" s="39">
        <f t="shared" si="2"/>
        <v>8</v>
      </c>
      <c r="L14" s="15" t="s">
        <v>279</v>
      </c>
    </row>
    <row r="15" spans="1:12" ht="24" customHeight="1" x14ac:dyDescent="0.3">
      <c r="A15" s="31">
        <v>9</v>
      </c>
      <c r="B15" s="15" t="s">
        <v>280</v>
      </c>
      <c r="C15" s="27">
        <v>2</v>
      </c>
      <c r="D15" s="27">
        <v>3</v>
      </c>
      <c r="E15" s="27">
        <v>2</v>
      </c>
      <c r="F15" s="27">
        <v>1</v>
      </c>
      <c r="G15" s="27">
        <v>1</v>
      </c>
      <c r="H15" s="27">
        <v>2</v>
      </c>
      <c r="I15" s="34">
        <f t="shared" si="0"/>
        <v>1.7</v>
      </c>
      <c r="J15" s="40" t="str">
        <f t="shared" si="1"/>
        <v>Condicionado</v>
      </c>
      <c r="K15" s="39">
        <f t="shared" si="2"/>
        <v>9</v>
      </c>
      <c r="L15" s="15" t="s">
        <v>279</v>
      </c>
    </row>
    <row r="16" spans="1:12" ht="24" customHeight="1" x14ac:dyDescent="0.3">
      <c r="A16" s="31">
        <v>10</v>
      </c>
      <c r="B16" s="15" t="s">
        <v>281</v>
      </c>
      <c r="C16" s="27">
        <v>1</v>
      </c>
      <c r="D16" s="27">
        <v>2</v>
      </c>
      <c r="E16" s="27">
        <v>2</v>
      </c>
      <c r="F16" s="27">
        <v>1</v>
      </c>
      <c r="G16" s="27">
        <v>1</v>
      </c>
      <c r="H16" s="27">
        <v>1</v>
      </c>
      <c r="I16" s="34">
        <f t="shared" si="0"/>
        <v>1.2</v>
      </c>
      <c r="J16" s="40" t="str">
        <f t="shared" si="1"/>
        <v>Diferido</v>
      </c>
      <c r="K16" s="39">
        <f t="shared" si="2"/>
        <v>10</v>
      </c>
      <c r="L16" s="15" t="s">
        <v>279</v>
      </c>
    </row>
    <row r="17" spans="1:1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1.75" customHeight="1" x14ac:dyDescent="0.3">
      <c r="A18" s="9" t="s">
        <v>282</v>
      </c>
      <c r="B18" s="9"/>
      <c r="C18" s="9"/>
      <c r="D18" s="9"/>
      <c r="E18" s="9"/>
      <c r="F18" s="9"/>
      <c r="G18" s="9"/>
      <c r="H18" s="9"/>
      <c r="I18" s="12"/>
      <c r="J18" s="12"/>
      <c r="K18" s="12"/>
      <c r="L18" s="12"/>
    </row>
    <row r="19" spans="1:12" ht="24" customHeight="1" x14ac:dyDescent="0.3">
      <c r="A19" s="12"/>
      <c r="B19" s="44" t="s">
        <v>283</v>
      </c>
      <c r="C19" s="45">
        <f>COUNTIF(J7:J16,"Seleccionado")</f>
        <v>7</v>
      </c>
      <c r="D19" s="1" t="str">
        <f>C19&amp;" proyectos autorizados inmediatamente"</f>
        <v>7 proyectos autorizados inmediatamente</v>
      </c>
      <c r="E19" s="1"/>
      <c r="F19" s="1"/>
      <c r="G19" s="1"/>
      <c r="H19" s="1"/>
      <c r="I19" s="12"/>
      <c r="J19" s="12"/>
      <c r="K19" s="12"/>
      <c r="L19" s="12"/>
    </row>
    <row r="20" spans="1:12" ht="24" customHeight="1" x14ac:dyDescent="0.3">
      <c r="A20" s="12"/>
      <c r="B20" s="44" t="s">
        <v>284</v>
      </c>
      <c r="C20" s="46">
        <f>COUNTIF(J7:J16,"Condicionado")</f>
        <v>2</v>
      </c>
      <c r="D20" s="1" t="str">
        <f>C20&amp;" proyectos sujetos a disponibilidad de fondos"</f>
        <v>2 proyectos sujetos a disponibilidad de fondos</v>
      </c>
      <c r="E20" s="1"/>
      <c r="F20" s="1"/>
      <c r="G20" s="1"/>
      <c r="H20" s="1"/>
      <c r="I20" s="12"/>
      <c r="J20" s="12"/>
      <c r="K20" s="12"/>
      <c r="L20" s="12"/>
    </row>
    <row r="21" spans="1:12" ht="24" customHeight="1" x14ac:dyDescent="0.3">
      <c r="A21" s="12"/>
      <c r="B21" s="44" t="s">
        <v>285</v>
      </c>
      <c r="C21" s="47">
        <f>COUNTIF(J7:J16,"Diferido")</f>
        <v>1</v>
      </c>
      <c r="D21" s="1" t="str">
        <f>C21&amp;" proyecto diferido para el siguiente ciclo"</f>
        <v>1 proyecto diferido para el siguiente ciclo</v>
      </c>
      <c r="E21" s="1"/>
      <c r="F21" s="1"/>
      <c r="G21" s="1"/>
      <c r="H21" s="1"/>
      <c r="I21" s="12"/>
      <c r="J21" s="12"/>
      <c r="K21" s="12"/>
      <c r="L21" s="12"/>
    </row>
  </sheetData>
  <mergeCells count="12">
    <mergeCell ref="D21:H21"/>
    <mergeCell ref="A4:J4"/>
    <mergeCell ref="K4:L4"/>
    <mergeCell ref="A18:H18"/>
    <mergeCell ref="D19:H19"/>
    <mergeCell ref="D20:H20"/>
    <mergeCell ref="A1:J1"/>
    <mergeCell ref="K1:L1"/>
    <mergeCell ref="A2:J2"/>
    <mergeCell ref="K2:L2"/>
    <mergeCell ref="A3:J3"/>
    <mergeCell ref="K3:L3"/>
  </mergeCells>
  <conditionalFormatting sqref="J7:J16">
    <cfRule type="expression" dxfId="16" priority="2">
      <formula>J7="Seleccionado"</formula>
    </cfRule>
    <cfRule type="expression" dxfId="15" priority="3">
      <formula>J7="Condicionado"</formula>
    </cfRule>
    <cfRule type="expression" dxfId="14" priority="4">
      <formula>J7="Diferido"</formula>
    </cfRule>
  </conditionalFormatting>
  <conditionalFormatting sqref="I7:I16">
    <cfRule type="expression" dxfId="13" priority="5">
      <formula>I7&gt;=2</formula>
    </cfRule>
    <cfRule type="expression" dxfId="12" priority="6">
      <formula>I7&gt;=1.5</formula>
    </cfRule>
    <cfRule type="expression" dxfId="11" priority="7">
      <formula>I7&lt;1.5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K12"/>
  <sheetViews>
    <sheetView showGridLines="0" zoomScaleNormal="100" workbookViewId="0">
      <selection sqref="A1:I1"/>
    </sheetView>
  </sheetViews>
  <sheetFormatPr baseColWidth="10" defaultColWidth="8.59765625" defaultRowHeight="15.6" x14ac:dyDescent="0.3"/>
  <cols>
    <col min="1" max="1" width="10" customWidth="1"/>
    <col min="2" max="2" width="38" customWidth="1"/>
    <col min="3" max="8" width="12" customWidth="1"/>
    <col min="9" max="9" width="16" customWidth="1"/>
    <col min="10" max="10" width="22" customWidth="1"/>
    <col min="11" max="11" width="17" customWidth="1"/>
  </cols>
  <sheetData>
    <row r="1" spans="1:11" ht="21.75" customHeight="1" x14ac:dyDescent="0.3">
      <c r="A1" s="7" t="s">
        <v>286</v>
      </c>
      <c r="B1" s="7"/>
      <c r="C1" s="7"/>
      <c r="D1" s="7"/>
      <c r="E1" s="7"/>
      <c r="F1" s="7"/>
      <c r="G1" s="7"/>
      <c r="H1" s="7"/>
      <c r="I1" s="7"/>
      <c r="J1" s="10" t="s">
        <v>1</v>
      </c>
      <c r="K1" s="10"/>
    </row>
    <row r="2" spans="1:11" ht="21.75" customHeight="1" x14ac:dyDescent="0.3">
      <c r="A2" s="6" t="s">
        <v>287</v>
      </c>
      <c r="B2" s="6"/>
      <c r="C2" s="6"/>
      <c r="D2" s="6"/>
      <c r="E2" s="6"/>
      <c r="F2" s="6"/>
      <c r="G2" s="6"/>
      <c r="H2" s="6"/>
      <c r="I2" s="6"/>
      <c r="J2" s="10" t="s">
        <v>3</v>
      </c>
      <c r="K2" s="10"/>
    </row>
    <row r="3" spans="1:11" ht="21.75" customHeight="1" x14ac:dyDescent="0.3">
      <c r="A3" s="5" t="s">
        <v>288</v>
      </c>
      <c r="B3" s="5"/>
      <c r="C3" s="5"/>
      <c r="D3" s="5"/>
      <c r="E3" s="5"/>
      <c r="F3" s="5"/>
      <c r="G3" s="5"/>
      <c r="H3" s="5"/>
      <c r="I3" s="5"/>
      <c r="J3" s="10" t="s">
        <v>5</v>
      </c>
      <c r="K3" s="10"/>
    </row>
    <row r="4" spans="1:11" ht="21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10" t="s">
        <v>289</v>
      </c>
      <c r="K4" s="10"/>
    </row>
    <row r="5" spans="1:11" ht="37.5" customHeight="1" x14ac:dyDescent="0.3">
      <c r="A5" s="13" t="s">
        <v>9</v>
      </c>
      <c r="B5" s="13" t="s">
        <v>226</v>
      </c>
      <c r="C5" s="13" t="s">
        <v>290</v>
      </c>
      <c r="D5" s="13" t="s">
        <v>291</v>
      </c>
      <c r="E5" s="13" t="s">
        <v>292</v>
      </c>
      <c r="F5" s="13" t="s">
        <v>293</v>
      </c>
      <c r="G5" s="13" t="s">
        <v>294</v>
      </c>
      <c r="H5" s="13" t="s">
        <v>295</v>
      </c>
      <c r="I5" s="13" t="s">
        <v>296</v>
      </c>
      <c r="J5" s="13" t="s">
        <v>297</v>
      </c>
      <c r="K5" s="13" t="s">
        <v>298</v>
      </c>
    </row>
    <row r="6" spans="1:11" ht="24" customHeight="1" x14ac:dyDescent="0.3">
      <c r="A6" s="31" t="s">
        <v>299</v>
      </c>
      <c r="B6" s="15" t="s">
        <v>230</v>
      </c>
      <c r="C6" s="48"/>
      <c r="D6" s="14">
        <v>1</v>
      </c>
      <c r="E6" s="14">
        <v>1</v>
      </c>
      <c r="F6" s="14">
        <v>1</v>
      </c>
      <c r="G6" s="14">
        <v>1</v>
      </c>
      <c r="H6" s="14">
        <v>1</v>
      </c>
      <c r="I6" s="39">
        <f t="shared" ref="I6:I11" si="0">SUM(C6:H6)</f>
        <v>5</v>
      </c>
      <c r="J6" s="39" t="s">
        <v>300</v>
      </c>
      <c r="K6" s="23">
        <f t="shared" ref="K6:K11" si="1">I6/SUM($I$6:$I$11)</f>
        <v>0.33333333333333331</v>
      </c>
    </row>
    <row r="7" spans="1:11" ht="24" customHeight="1" x14ac:dyDescent="0.3">
      <c r="A7" s="31" t="s">
        <v>301</v>
      </c>
      <c r="B7" s="15" t="s">
        <v>233</v>
      </c>
      <c r="C7" s="14">
        <v>0</v>
      </c>
      <c r="D7" s="48"/>
      <c r="E7" s="14">
        <v>1</v>
      </c>
      <c r="F7" s="14">
        <v>1</v>
      </c>
      <c r="G7" s="14">
        <v>1</v>
      </c>
      <c r="H7" s="14">
        <v>1</v>
      </c>
      <c r="I7" s="39">
        <f t="shared" si="0"/>
        <v>4</v>
      </c>
      <c r="J7" s="39" t="s">
        <v>302</v>
      </c>
      <c r="K7" s="23">
        <f t="shared" si="1"/>
        <v>0.26666666666666666</v>
      </c>
    </row>
    <row r="8" spans="1:11" ht="24" customHeight="1" x14ac:dyDescent="0.3">
      <c r="A8" s="31" t="s">
        <v>303</v>
      </c>
      <c r="B8" s="15" t="s">
        <v>236</v>
      </c>
      <c r="C8" s="14">
        <v>0</v>
      </c>
      <c r="D8" s="14">
        <v>0</v>
      </c>
      <c r="E8" s="48"/>
      <c r="F8" s="14">
        <v>1</v>
      </c>
      <c r="G8" s="14">
        <v>1</v>
      </c>
      <c r="H8" s="14">
        <v>1</v>
      </c>
      <c r="I8" s="39">
        <f t="shared" si="0"/>
        <v>3</v>
      </c>
      <c r="J8" s="39" t="s">
        <v>304</v>
      </c>
      <c r="K8" s="23">
        <f t="shared" si="1"/>
        <v>0.2</v>
      </c>
    </row>
    <row r="9" spans="1:11" ht="24" customHeight="1" x14ac:dyDescent="0.3">
      <c r="A9" s="31" t="s">
        <v>305</v>
      </c>
      <c r="B9" s="15" t="s">
        <v>274</v>
      </c>
      <c r="C9" s="14">
        <v>0</v>
      </c>
      <c r="D9" s="14">
        <v>0</v>
      </c>
      <c r="E9" s="14">
        <v>0</v>
      </c>
      <c r="F9" s="48"/>
      <c r="G9" s="14">
        <v>1</v>
      </c>
      <c r="H9" s="14">
        <v>1</v>
      </c>
      <c r="I9" s="39">
        <f t="shared" si="0"/>
        <v>2</v>
      </c>
      <c r="J9" s="39" t="s">
        <v>306</v>
      </c>
      <c r="K9" s="23">
        <f t="shared" si="1"/>
        <v>0.13333333333333333</v>
      </c>
    </row>
    <row r="10" spans="1:11" ht="24" customHeight="1" x14ac:dyDescent="0.3">
      <c r="A10" s="31" t="s">
        <v>307</v>
      </c>
      <c r="B10" s="15" t="s">
        <v>276</v>
      </c>
      <c r="C10" s="14">
        <v>0</v>
      </c>
      <c r="D10" s="14">
        <v>0</v>
      </c>
      <c r="E10" s="14">
        <v>0</v>
      </c>
      <c r="F10" s="14">
        <v>0</v>
      </c>
      <c r="G10" s="48"/>
      <c r="H10" s="14">
        <v>1</v>
      </c>
      <c r="I10" s="39">
        <f t="shared" si="0"/>
        <v>1</v>
      </c>
      <c r="J10" s="39" t="s">
        <v>308</v>
      </c>
      <c r="K10" s="23">
        <f t="shared" si="1"/>
        <v>6.6666666666666666E-2</v>
      </c>
    </row>
    <row r="11" spans="1:11" ht="24" customHeight="1" x14ac:dyDescent="0.3">
      <c r="A11" s="31" t="s">
        <v>309</v>
      </c>
      <c r="B11" s="15" t="s">
        <v>277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48"/>
      <c r="I11" s="39">
        <f t="shared" si="0"/>
        <v>0</v>
      </c>
      <c r="J11" s="39" t="s">
        <v>310</v>
      </c>
      <c r="K11" s="23">
        <f t="shared" si="1"/>
        <v>0</v>
      </c>
    </row>
    <row r="12" spans="1:11" ht="24" customHeight="1" x14ac:dyDescent="0.3">
      <c r="A12" s="28" t="s">
        <v>96</v>
      </c>
      <c r="B12" s="28"/>
      <c r="C12" s="28"/>
      <c r="D12" s="28"/>
      <c r="E12" s="28"/>
      <c r="F12" s="28"/>
      <c r="G12" s="28"/>
      <c r="H12" s="28"/>
      <c r="I12" s="28">
        <f>SUM(I6:I11)</f>
        <v>15</v>
      </c>
      <c r="J12" s="28"/>
      <c r="K12" s="30">
        <f>SUM(K6:K11)</f>
        <v>1</v>
      </c>
    </row>
  </sheetData>
  <mergeCells count="8">
    <mergeCell ref="A4:I4"/>
    <mergeCell ref="J4:K4"/>
    <mergeCell ref="A1:I1"/>
    <mergeCell ref="J1:K1"/>
    <mergeCell ref="A2:I2"/>
    <mergeCell ref="J2:K2"/>
    <mergeCell ref="A3:I3"/>
    <mergeCell ref="J3:K3"/>
  </mergeCells>
  <conditionalFormatting sqref="C6:H11">
    <cfRule type="cellIs" dxfId="10" priority="2" operator="equal">
      <formula>1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  <pageSetUpPr fitToPage="1"/>
  </sheetPr>
  <dimension ref="A1:G26"/>
  <sheetViews>
    <sheetView showGridLines="0" topLeftCell="A13" zoomScaleNormal="100" workbookViewId="0">
      <selection activeCell="E10" sqref="E10"/>
    </sheetView>
  </sheetViews>
  <sheetFormatPr baseColWidth="10" defaultColWidth="8.59765625" defaultRowHeight="15.6" x14ac:dyDescent="0.3"/>
  <cols>
    <col min="1" max="1" width="42" customWidth="1"/>
    <col min="2" max="2" width="16" customWidth="1"/>
    <col min="3" max="3" width="18" customWidth="1"/>
    <col min="4" max="6" width="20" customWidth="1"/>
    <col min="7" max="7" width="24" customWidth="1"/>
  </cols>
  <sheetData>
    <row r="1" spans="1:7" ht="21.75" customHeight="1" x14ac:dyDescent="0.3">
      <c r="A1" s="7" t="s">
        <v>311</v>
      </c>
      <c r="B1" s="7"/>
      <c r="C1" s="7"/>
      <c r="D1" s="7"/>
      <c r="E1" s="7"/>
      <c r="F1" s="10" t="s">
        <v>312</v>
      </c>
      <c r="G1" s="10"/>
    </row>
    <row r="2" spans="1:7" ht="36" customHeight="1" x14ac:dyDescent="0.3">
      <c r="A2" s="78" t="s">
        <v>313</v>
      </c>
      <c r="B2" s="78"/>
      <c r="C2" s="78"/>
      <c r="D2" s="78"/>
      <c r="E2" s="78"/>
      <c r="F2" s="10" t="s">
        <v>3</v>
      </c>
      <c r="G2" s="10"/>
    </row>
    <row r="3" spans="1:7" ht="21.75" customHeight="1" x14ac:dyDescent="0.3">
      <c r="A3" s="79"/>
      <c r="B3" s="79"/>
      <c r="C3" s="79"/>
      <c r="D3" s="79"/>
      <c r="E3" s="79"/>
      <c r="F3" s="10" t="s">
        <v>314</v>
      </c>
      <c r="G3" s="10"/>
    </row>
    <row r="4" spans="1:7" ht="21.75" customHeight="1" x14ac:dyDescent="0.3">
      <c r="A4" s="9" t="s">
        <v>315</v>
      </c>
      <c r="B4" s="9"/>
      <c r="C4" s="9"/>
      <c r="D4" s="9"/>
      <c r="E4" s="9"/>
      <c r="F4" s="9"/>
      <c r="G4" s="9"/>
    </row>
    <row r="5" spans="1:7" ht="30" customHeight="1" x14ac:dyDescent="0.3">
      <c r="A5" s="41" t="s">
        <v>316</v>
      </c>
      <c r="B5" s="38" t="s">
        <v>317</v>
      </c>
      <c r="C5" s="38" t="s">
        <v>318</v>
      </c>
      <c r="D5" s="38" t="s">
        <v>319</v>
      </c>
      <c r="E5" s="38" t="s">
        <v>320</v>
      </c>
      <c r="F5" s="12"/>
      <c r="G5" s="12"/>
    </row>
    <row r="6" spans="1:7" ht="19.5" customHeight="1" x14ac:dyDescent="0.3">
      <c r="A6" s="49" t="s">
        <v>321</v>
      </c>
      <c r="B6" s="27" t="s">
        <v>210</v>
      </c>
      <c r="C6" s="27">
        <v>8</v>
      </c>
      <c r="D6" s="20">
        <v>5.95</v>
      </c>
      <c r="E6" s="50">
        <f>D6*$B$11</f>
        <v>130.9</v>
      </c>
      <c r="F6" s="12"/>
      <c r="G6" s="12"/>
    </row>
    <row r="7" spans="1:7" ht="19.5" customHeight="1" x14ac:dyDescent="0.3">
      <c r="A7" s="49" t="s">
        <v>322</v>
      </c>
      <c r="B7" s="27" t="s">
        <v>210</v>
      </c>
      <c r="C7" s="27">
        <v>8</v>
      </c>
      <c r="D7" s="20">
        <v>4.95</v>
      </c>
      <c r="E7" s="50">
        <f>D7*$B$11</f>
        <v>108.9</v>
      </c>
      <c r="F7" s="12"/>
      <c r="G7" s="12"/>
    </row>
    <row r="8" spans="1:7" ht="19.5" customHeight="1" x14ac:dyDescent="0.3">
      <c r="A8" s="49" t="s">
        <v>323</v>
      </c>
      <c r="B8" s="27" t="s">
        <v>210</v>
      </c>
      <c r="C8" s="27">
        <v>8</v>
      </c>
      <c r="D8" s="20">
        <v>3.95</v>
      </c>
      <c r="E8" s="50">
        <f>D8*$B$11</f>
        <v>86.9</v>
      </c>
      <c r="F8" s="12"/>
      <c r="G8" s="12"/>
    </row>
    <row r="9" spans="1:7" ht="19.5" customHeight="1" x14ac:dyDescent="0.3">
      <c r="A9" s="49" t="s">
        <v>324</v>
      </c>
      <c r="B9" s="27" t="s">
        <v>179</v>
      </c>
      <c r="C9" s="27">
        <v>8</v>
      </c>
      <c r="D9" s="20">
        <v>3.95</v>
      </c>
      <c r="E9" s="50">
        <f>D9*$B$11</f>
        <v>86.9</v>
      </c>
      <c r="F9" s="12"/>
      <c r="G9" s="12"/>
    </row>
    <row r="10" spans="1:7" ht="19.5" customHeight="1" x14ac:dyDescent="0.3">
      <c r="A10" s="49" t="s">
        <v>325</v>
      </c>
      <c r="B10" s="27" t="s">
        <v>179</v>
      </c>
      <c r="C10" s="27">
        <v>8</v>
      </c>
      <c r="D10" s="20">
        <v>3.95</v>
      </c>
      <c r="E10" s="50">
        <f>D10*$B$11</f>
        <v>86.9</v>
      </c>
      <c r="F10" s="12"/>
      <c r="G10" s="12"/>
    </row>
    <row r="11" spans="1:7" ht="30" customHeight="1" x14ac:dyDescent="0.3">
      <c r="A11" s="51" t="s">
        <v>326</v>
      </c>
      <c r="B11" s="52">
        <v>22</v>
      </c>
      <c r="C11" s="12"/>
      <c r="D11" s="12"/>
      <c r="E11" s="12"/>
      <c r="F11" s="12"/>
      <c r="G11" s="12"/>
    </row>
    <row r="12" spans="1:7" ht="21.75" customHeight="1" x14ac:dyDescent="0.3">
      <c r="A12" s="9" t="s">
        <v>327</v>
      </c>
      <c r="B12" s="9"/>
      <c r="C12" s="9"/>
      <c r="D12" s="9"/>
      <c r="E12" s="9"/>
      <c r="F12" s="9"/>
      <c r="G12" s="9"/>
    </row>
    <row r="13" spans="1:7" ht="36" customHeight="1" x14ac:dyDescent="0.3">
      <c r="A13" s="41" t="s">
        <v>328</v>
      </c>
      <c r="B13" s="38" t="s">
        <v>329</v>
      </c>
      <c r="C13" s="38" t="s">
        <v>330</v>
      </c>
      <c r="D13" s="38" t="s">
        <v>331</v>
      </c>
      <c r="E13" s="38" t="s">
        <v>332</v>
      </c>
      <c r="F13" s="38" t="s">
        <v>333</v>
      </c>
      <c r="G13" s="38" t="s">
        <v>334</v>
      </c>
    </row>
    <row r="14" spans="1:7" ht="21.75" customHeight="1" x14ac:dyDescent="0.3">
      <c r="A14" s="49" t="s">
        <v>335</v>
      </c>
      <c r="B14" s="27">
        <v>6</v>
      </c>
      <c r="C14" s="27">
        <v>132</v>
      </c>
      <c r="D14" s="19">
        <f>B14*C14</f>
        <v>792</v>
      </c>
      <c r="E14" s="19">
        <v>924</v>
      </c>
      <c r="F14" s="53">
        <f>D14-E14</f>
        <v>-132</v>
      </c>
      <c r="G14" s="14" t="str">
        <f>IF(F14&lt;0,"Sobrecarga Crítica","Adecuado")</f>
        <v>Sobrecarga Crítica</v>
      </c>
    </row>
    <row r="15" spans="1:7" ht="21.75" customHeight="1" x14ac:dyDescent="0.3">
      <c r="A15" s="49" t="s">
        <v>336</v>
      </c>
      <c r="B15" s="27">
        <v>4</v>
      </c>
      <c r="C15" s="27">
        <v>132</v>
      </c>
      <c r="D15" s="19">
        <f>B15*C15</f>
        <v>528</v>
      </c>
      <c r="E15" s="19">
        <v>480</v>
      </c>
      <c r="F15" s="53">
        <f>D15-E15</f>
        <v>48</v>
      </c>
      <c r="G15" s="14" t="str">
        <f>IF(F15&lt;0,"Sobrecarga","Adecuado")</f>
        <v>Adecuado</v>
      </c>
    </row>
    <row r="16" spans="1:7" ht="21.75" customHeight="1" x14ac:dyDescent="0.3">
      <c r="A16" s="49" t="s">
        <v>337</v>
      </c>
      <c r="B16" s="27">
        <v>4</v>
      </c>
      <c r="C16" s="27">
        <v>132</v>
      </c>
      <c r="D16" s="19">
        <f>B16*C16</f>
        <v>528</v>
      </c>
      <c r="E16" s="19">
        <v>500</v>
      </c>
      <c r="F16" s="53">
        <f>D16-E16</f>
        <v>28</v>
      </c>
      <c r="G16" s="14" t="str">
        <f>IF(F16&lt;0,"Sobrecarga","Adecuado")</f>
        <v>Adecuado</v>
      </c>
    </row>
    <row r="17" spans="1:7" ht="21.75" customHeight="1" x14ac:dyDescent="0.3">
      <c r="A17" s="49" t="s">
        <v>324</v>
      </c>
      <c r="B17" s="27">
        <v>6</v>
      </c>
      <c r="C17" s="27">
        <v>132</v>
      </c>
      <c r="D17" s="19">
        <f>B17*C17</f>
        <v>792</v>
      </c>
      <c r="E17" s="19">
        <v>850</v>
      </c>
      <c r="F17" s="53">
        <f>D17-E17</f>
        <v>-58</v>
      </c>
      <c r="G17" s="14" t="str">
        <f>IF(F17&lt;0,"Sobrecarga Crítica","Adecuado")</f>
        <v>Sobrecarga Crítica</v>
      </c>
    </row>
    <row r="18" spans="1:7" ht="21.75" customHeight="1" x14ac:dyDescent="0.3">
      <c r="A18" s="49" t="s">
        <v>338</v>
      </c>
      <c r="B18" s="27">
        <v>5</v>
      </c>
      <c r="C18" s="27">
        <v>132</v>
      </c>
      <c r="D18" s="19">
        <f>B18*C18</f>
        <v>660</v>
      </c>
      <c r="E18" s="19">
        <v>700</v>
      </c>
      <c r="F18" s="53">
        <f>D18-E18</f>
        <v>-40</v>
      </c>
      <c r="G18" s="14" t="str">
        <f>IF(F18&lt;0,"Ajuste Necesario","Adecuado")</f>
        <v>Ajuste Necesario</v>
      </c>
    </row>
    <row r="19" spans="1:7" ht="24" customHeight="1" x14ac:dyDescent="0.3">
      <c r="A19" s="54" t="s">
        <v>339</v>
      </c>
      <c r="B19" s="28">
        <f>SUM(B14:B18)</f>
        <v>25</v>
      </c>
      <c r="C19" s="28"/>
      <c r="D19" s="55">
        <f>SUM(D14:D18)</f>
        <v>3300</v>
      </c>
      <c r="E19" s="55">
        <f>SUM(E14:E18)</f>
        <v>3454</v>
      </c>
      <c r="F19" s="55">
        <f>SUM(F14:F18)</f>
        <v>-154</v>
      </c>
      <c r="G19" s="56">
        <f>F19/D19</f>
        <v>-4.6666666666666669E-2</v>
      </c>
    </row>
    <row r="20" spans="1:7" x14ac:dyDescent="0.3">
      <c r="A20" s="12"/>
      <c r="B20" s="12"/>
      <c r="C20" s="12"/>
      <c r="D20" s="12"/>
      <c r="E20" s="12"/>
      <c r="F20" s="12"/>
      <c r="G20" s="12"/>
    </row>
    <row r="21" spans="1:7" ht="21.75" customHeight="1" x14ac:dyDescent="0.3">
      <c r="A21" s="9" t="s">
        <v>340</v>
      </c>
      <c r="B21" s="9"/>
      <c r="C21" s="9"/>
      <c r="D21" s="9"/>
      <c r="E21" s="9"/>
      <c r="F21" s="9"/>
      <c r="G21" s="9"/>
    </row>
    <row r="22" spans="1:7" ht="33.75" customHeight="1" x14ac:dyDescent="0.3">
      <c r="A22" s="41" t="s">
        <v>341</v>
      </c>
      <c r="B22" s="38" t="s">
        <v>342</v>
      </c>
      <c r="C22" s="38" t="s">
        <v>343</v>
      </c>
      <c r="D22" s="38" t="s">
        <v>344</v>
      </c>
      <c r="E22" s="2" t="s">
        <v>345</v>
      </c>
      <c r="F22" s="2"/>
      <c r="G22" s="2"/>
    </row>
    <row r="23" spans="1:7" ht="25.5" customHeight="1" x14ac:dyDescent="0.3">
      <c r="A23" s="49" t="s">
        <v>346</v>
      </c>
      <c r="B23" s="19">
        <v>4389</v>
      </c>
      <c r="C23" s="19">
        <v>1068</v>
      </c>
      <c r="D23" s="53">
        <f>C23-B23</f>
        <v>-3321</v>
      </c>
      <c r="E23" s="80" t="s">
        <v>347</v>
      </c>
      <c r="F23" s="80"/>
      <c r="G23" s="80"/>
    </row>
    <row r="24" spans="1:7" ht="25.5" customHeight="1" x14ac:dyDescent="0.3">
      <c r="A24" s="49" t="s">
        <v>348</v>
      </c>
      <c r="B24" s="19">
        <v>8046</v>
      </c>
      <c r="C24" s="19">
        <v>1068</v>
      </c>
      <c r="D24" s="53">
        <f>C24-B24</f>
        <v>-6978</v>
      </c>
      <c r="E24" s="80" t="s">
        <v>349</v>
      </c>
      <c r="F24" s="80"/>
      <c r="G24" s="80"/>
    </row>
    <row r="25" spans="1:7" ht="25.5" customHeight="1" x14ac:dyDescent="0.3">
      <c r="A25" s="49" t="s">
        <v>350</v>
      </c>
      <c r="B25" s="19">
        <v>5852</v>
      </c>
      <c r="C25" s="19">
        <v>1068</v>
      </c>
      <c r="D25" s="53">
        <f>C25-B25</f>
        <v>-4784</v>
      </c>
      <c r="E25" s="80" t="s">
        <v>351</v>
      </c>
      <c r="F25" s="80"/>
      <c r="G25" s="80"/>
    </row>
    <row r="26" spans="1:7" ht="25.5" customHeight="1" x14ac:dyDescent="0.3">
      <c r="A26" s="54" t="s">
        <v>352</v>
      </c>
      <c r="B26" s="19">
        <v>6346</v>
      </c>
      <c r="C26" s="19">
        <v>6346</v>
      </c>
      <c r="D26" s="53">
        <f>C26-B26</f>
        <v>0</v>
      </c>
      <c r="E26" s="80" t="s">
        <v>353</v>
      </c>
      <c r="F26" s="80"/>
      <c r="G26" s="80"/>
    </row>
  </sheetData>
  <mergeCells count="14">
    <mergeCell ref="E24:G24"/>
    <mergeCell ref="E25:G25"/>
    <mergeCell ref="E26:G26"/>
    <mergeCell ref="A4:G4"/>
    <mergeCell ref="A12:G12"/>
    <mergeCell ref="A21:G21"/>
    <mergeCell ref="E22:G22"/>
    <mergeCell ref="E23:G23"/>
    <mergeCell ref="A1:E1"/>
    <mergeCell ref="F1:G1"/>
    <mergeCell ref="A2:E2"/>
    <mergeCell ref="F2:G2"/>
    <mergeCell ref="A3:E3"/>
    <mergeCell ref="F3:G3"/>
  </mergeCells>
  <conditionalFormatting sqref="G14:G18">
    <cfRule type="expression" dxfId="9" priority="2">
      <formula>G14="Adecuado"</formula>
    </cfRule>
    <cfRule type="expression" dxfId="8" priority="3">
      <formula>G14="Sobrecarga Crítica"</formula>
    </cfRule>
    <cfRule type="expression" dxfId="7" priority="4">
      <formula>G14="Sobrecarga"</formula>
    </cfRule>
    <cfRule type="expression" dxfId="6" priority="5">
      <formula>G14="Ajuste Necesario"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8E4BC"/>
    <pageSetUpPr fitToPage="1"/>
  </sheetPr>
  <dimension ref="A1:M24"/>
  <sheetViews>
    <sheetView showGridLines="0" zoomScale="85" zoomScaleNormal="85" workbookViewId="0">
      <selection sqref="A1:J1"/>
    </sheetView>
  </sheetViews>
  <sheetFormatPr baseColWidth="10" defaultColWidth="8.59765625" defaultRowHeight="15.6" x14ac:dyDescent="0.3"/>
  <cols>
    <col min="1" max="1" width="8" customWidth="1"/>
    <col min="2" max="2" width="32" customWidth="1"/>
    <col min="3" max="3" width="17" customWidth="1"/>
    <col min="4" max="12" width="15" customWidth="1"/>
    <col min="13" max="13" width="40" customWidth="1"/>
  </cols>
  <sheetData>
    <row r="1" spans="1:13" ht="21.75" customHeight="1" x14ac:dyDescent="0.3">
      <c r="A1" s="7" t="s">
        <v>354</v>
      </c>
      <c r="B1" s="7"/>
      <c r="C1" s="7"/>
      <c r="D1" s="7"/>
      <c r="E1" s="7"/>
      <c r="F1" s="7"/>
      <c r="G1" s="7"/>
      <c r="H1" s="7"/>
      <c r="I1" s="7"/>
      <c r="J1" s="7"/>
      <c r="K1" s="10" t="s">
        <v>312</v>
      </c>
      <c r="L1" s="10"/>
      <c r="M1" s="10"/>
    </row>
    <row r="2" spans="1:13" ht="21.75" customHeight="1" x14ac:dyDescent="0.3">
      <c r="A2" s="81" t="s">
        <v>355</v>
      </c>
      <c r="B2" s="81"/>
      <c r="C2" s="81"/>
      <c r="D2" s="81"/>
      <c r="E2" s="81"/>
      <c r="F2" s="81"/>
      <c r="G2" s="81"/>
      <c r="H2" s="81"/>
      <c r="I2" s="81"/>
      <c r="J2" s="81"/>
      <c r="K2" s="10" t="s">
        <v>3</v>
      </c>
      <c r="L2" s="10"/>
      <c r="M2" s="10"/>
    </row>
    <row r="3" spans="1:13" ht="21.75" customHeight="1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10" t="s">
        <v>356</v>
      </c>
      <c r="L3" s="10"/>
      <c r="M3" s="10"/>
    </row>
    <row r="4" spans="1:13" ht="30" customHeight="1" x14ac:dyDescent="0.3">
      <c r="A4" s="13" t="s">
        <v>8</v>
      </c>
      <c r="B4" s="13" t="s">
        <v>226</v>
      </c>
      <c r="C4" s="13" t="s">
        <v>91</v>
      </c>
      <c r="D4" s="13" t="s">
        <v>357</v>
      </c>
      <c r="E4" s="13" t="s">
        <v>358</v>
      </c>
      <c r="F4" s="13" t="s">
        <v>359</v>
      </c>
      <c r="G4" s="13" t="s">
        <v>360</v>
      </c>
      <c r="H4" s="13" t="s">
        <v>361</v>
      </c>
      <c r="I4" s="13" t="s">
        <v>362</v>
      </c>
      <c r="J4" s="13" t="s">
        <v>363</v>
      </c>
      <c r="K4" s="13" t="s">
        <v>364</v>
      </c>
      <c r="L4" s="13" t="s">
        <v>365</v>
      </c>
      <c r="M4" s="13" t="s">
        <v>366</v>
      </c>
    </row>
    <row r="5" spans="1:13" ht="27.75" customHeight="1" x14ac:dyDescent="0.3">
      <c r="A5" s="31">
        <v>1</v>
      </c>
      <c r="B5" s="15" t="s">
        <v>230</v>
      </c>
      <c r="C5" s="15" t="s">
        <v>26</v>
      </c>
      <c r="D5" s="14" t="s">
        <v>367</v>
      </c>
      <c r="E5" s="14" t="s">
        <v>367</v>
      </c>
      <c r="F5" s="14" t="s">
        <v>367</v>
      </c>
      <c r="G5" s="14" t="s">
        <v>367</v>
      </c>
      <c r="H5" s="14" t="s">
        <v>367</v>
      </c>
      <c r="I5" s="14" t="s">
        <v>367</v>
      </c>
      <c r="J5" s="14" t="s">
        <v>367</v>
      </c>
      <c r="K5" s="14" t="s">
        <v>367</v>
      </c>
      <c r="L5" s="14" t="s">
        <v>368</v>
      </c>
      <c r="M5" s="15" t="s">
        <v>369</v>
      </c>
    </row>
    <row r="6" spans="1:13" ht="27.75" customHeight="1" x14ac:dyDescent="0.3">
      <c r="A6" s="31">
        <v>2</v>
      </c>
      <c r="B6" s="15" t="s">
        <v>233</v>
      </c>
      <c r="C6" s="15" t="s">
        <v>26</v>
      </c>
      <c r="D6" s="14" t="s">
        <v>35</v>
      </c>
      <c r="E6" s="14" t="s">
        <v>370</v>
      </c>
      <c r="F6" s="14" t="s">
        <v>371</v>
      </c>
      <c r="G6" s="14" t="s">
        <v>372</v>
      </c>
      <c r="H6" s="14" t="s">
        <v>372</v>
      </c>
      <c r="I6" s="14" t="s">
        <v>372</v>
      </c>
      <c r="J6" s="14" t="s">
        <v>372</v>
      </c>
      <c r="K6" s="14" t="s">
        <v>372</v>
      </c>
      <c r="L6" s="14" t="s">
        <v>372</v>
      </c>
      <c r="M6" s="15" t="s">
        <v>373</v>
      </c>
    </row>
    <row r="7" spans="1:13" ht="27.75" customHeight="1" x14ac:dyDescent="0.3">
      <c r="A7" s="31">
        <v>3</v>
      </c>
      <c r="B7" s="15" t="s">
        <v>236</v>
      </c>
      <c r="C7" s="15" t="s">
        <v>26</v>
      </c>
      <c r="D7" s="14" t="s">
        <v>367</v>
      </c>
      <c r="E7" s="14" t="s">
        <v>367</v>
      </c>
      <c r="F7" s="14" t="s">
        <v>367</v>
      </c>
      <c r="G7" s="14" t="s">
        <v>367</v>
      </c>
      <c r="H7" s="14" t="s">
        <v>367</v>
      </c>
      <c r="I7" s="14" t="s">
        <v>374</v>
      </c>
      <c r="J7" s="14" t="s">
        <v>372</v>
      </c>
      <c r="K7" s="14" t="s">
        <v>372</v>
      </c>
      <c r="L7" s="14" t="s">
        <v>372</v>
      </c>
      <c r="M7" s="15" t="s">
        <v>375</v>
      </c>
    </row>
    <row r="8" spans="1:13" ht="27.75" customHeight="1" x14ac:dyDescent="0.3">
      <c r="A8" s="31">
        <v>4</v>
      </c>
      <c r="B8" s="15" t="s">
        <v>238</v>
      </c>
      <c r="C8" s="15" t="s">
        <v>26</v>
      </c>
      <c r="D8" s="14" t="s">
        <v>376</v>
      </c>
      <c r="E8" s="14" t="s">
        <v>377</v>
      </c>
      <c r="F8" s="14" t="s">
        <v>376</v>
      </c>
      <c r="G8" s="14" t="s">
        <v>378</v>
      </c>
      <c r="H8" s="14" t="s">
        <v>371</v>
      </c>
      <c r="I8" s="14" t="s">
        <v>372</v>
      </c>
      <c r="J8" s="14" t="s">
        <v>372</v>
      </c>
      <c r="K8" s="14" t="s">
        <v>372</v>
      </c>
      <c r="L8" s="14" t="s">
        <v>372</v>
      </c>
      <c r="M8" s="15" t="s">
        <v>379</v>
      </c>
    </row>
    <row r="9" spans="1:13" ht="27.75" customHeight="1" x14ac:dyDescent="0.3">
      <c r="A9" s="31">
        <v>5</v>
      </c>
      <c r="B9" s="15" t="s">
        <v>241</v>
      </c>
      <c r="C9" s="15" t="s">
        <v>26</v>
      </c>
      <c r="D9" s="14" t="s">
        <v>367</v>
      </c>
      <c r="E9" s="14" t="s">
        <v>367</v>
      </c>
      <c r="F9" s="14" t="s">
        <v>367</v>
      </c>
      <c r="G9" s="14" t="s">
        <v>367</v>
      </c>
      <c r="H9" s="14" t="s">
        <v>367</v>
      </c>
      <c r="I9" s="14" t="s">
        <v>367</v>
      </c>
      <c r="J9" s="14" t="s">
        <v>367</v>
      </c>
      <c r="K9" s="14" t="s">
        <v>367</v>
      </c>
      <c r="L9" s="14" t="s">
        <v>367</v>
      </c>
      <c r="M9" s="15" t="s">
        <v>380</v>
      </c>
    </row>
    <row r="10" spans="1:13" ht="27.75" customHeight="1" x14ac:dyDescent="0.3">
      <c r="A10" s="31">
        <v>6</v>
      </c>
      <c r="B10" s="15" t="s">
        <v>243</v>
      </c>
      <c r="C10" s="15" t="s">
        <v>56</v>
      </c>
      <c r="D10" s="14" t="s">
        <v>381</v>
      </c>
      <c r="E10" s="14" t="s">
        <v>382</v>
      </c>
      <c r="F10" s="14" t="s">
        <v>383</v>
      </c>
      <c r="G10" s="14" t="s">
        <v>384</v>
      </c>
      <c r="H10" s="14" t="s">
        <v>372</v>
      </c>
      <c r="I10" s="14" t="s">
        <v>372</v>
      </c>
      <c r="J10" s="14" t="s">
        <v>372</v>
      </c>
      <c r="K10" s="14" t="s">
        <v>372</v>
      </c>
      <c r="L10" s="14" t="s">
        <v>372</v>
      </c>
      <c r="M10" s="15" t="s">
        <v>385</v>
      </c>
    </row>
    <row r="11" spans="1:13" ht="27.75" customHeight="1" x14ac:dyDescent="0.3">
      <c r="A11" s="31">
        <v>7</v>
      </c>
      <c r="B11" s="15" t="s">
        <v>245</v>
      </c>
      <c r="C11" s="15" t="s">
        <v>62</v>
      </c>
      <c r="D11" s="14" t="s">
        <v>35</v>
      </c>
      <c r="E11" s="14" t="s">
        <v>370</v>
      </c>
      <c r="F11" s="14" t="s">
        <v>372</v>
      </c>
      <c r="G11" s="14" t="s">
        <v>372</v>
      </c>
      <c r="H11" s="14" t="s">
        <v>372</v>
      </c>
      <c r="I11" s="14" t="s">
        <v>372</v>
      </c>
      <c r="J11" s="14" t="s">
        <v>372</v>
      </c>
      <c r="K11" s="14" t="s">
        <v>372</v>
      </c>
      <c r="L11" s="14" t="s">
        <v>372</v>
      </c>
      <c r="M11" s="15" t="s">
        <v>386</v>
      </c>
    </row>
    <row r="12" spans="1:13" ht="27.75" customHeight="1" x14ac:dyDescent="0.3">
      <c r="A12" s="31">
        <v>8</v>
      </c>
      <c r="B12" s="15" t="s">
        <v>248</v>
      </c>
      <c r="C12" s="15" t="s">
        <v>62</v>
      </c>
      <c r="D12" s="14" t="s">
        <v>35</v>
      </c>
      <c r="E12" s="14" t="s">
        <v>372</v>
      </c>
      <c r="F12" s="14" t="s">
        <v>372</v>
      </c>
      <c r="G12" s="14" t="s">
        <v>372</v>
      </c>
      <c r="H12" s="14" t="s">
        <v>372</v>
      </c>
      <c r="I12" s="14" t="s">
        <v>372</v>
      </c>
      <c r="J12" s="14" t="s">
        <v>372</v>
      </c>
      <c r="K12" s="14" t="s">
        <v>372</v>
      </c>
      <c r="L12" s="14" t="s">
        <v>372</v>
      </c>
      <c r="M12" s="15" t="s">
        <v>387</v>
      </c>
    </row>
    <row r="13" spans="1:13" ht="27.75" customHeight="1" x14ac:dyDescent="0.3">
      <c r="A13" s="31">
        <v>9</v>
      </c>
      <c r="B13" s="15" t="s">
        <v>251</v>
      </c>
      <c r="C13" s="15" t="s">
        <v>56</v>
      </c>
      <c r="D13" s="14" t="s">
        <v>35</v>
      </c>
      <c r="E13" s="14" t="s">
        <v>367</v>
      </c>
      <c r="F13" s="14" t="s">
        <v>372</v>
      </c>
      <c r="G13" s="14" t="s">
        <v>372</v>
      </c>
      <c r="H13" s="14" t="s">
        <v>372</v>
      </c>
      <c r="I13" s="14" t="s">
        <v>372</v>
      </c>
      <c r="J13" s="14" t="s">
        <v>372</v>
      </c>
      <c r="K13" s="14" t="s">
        <v>372</v>
      </c>
      <c r="L13" s="14" t="s">
        <v>372</v>
      </c>
      <c r="M13" s="15" t="s">
        <v>388</v>
      </c>
    </row>
    <row r="14" spans="1:13" ht="27.75" customHeight="1" x14ac:dyDescent="0.3">
      <c r="A14" s="31">
        <v>10</v>
      </c>
      <c r="B14" s="15" t="s">
        <v>253</v>
      </c>
      <c r="C14" s="15" t="s">
        <v>56</v>
      </c>
      <c r="D14" s="14" t="s">
        <v>35</v>
      </c>
      <c r="E14" s="14" t="s">
        <v>367</v>
      </c>
      <c r="F14" s="14" t="s">
        <v>372</v>
      </c>
      <c r="G14" s="14" t="s">
        <v>372</v>
      </c>
      <c r="H14" s="14" t="s">
        <v>372</v>
      </c>
      <c r="I14" s="14" t="s">
        <v>372</v>
      </c>
      <c r="J14" s="14" t="s">
        <v>372</v>
      </c>
      <c r="K14" s="14" t="s">
        <v>372</v>
      </c>
      <c r="L14" s="14" t="s">
        <v>372</v>
      </c>
      <c r="M14" s="15" t="s">
        <v>389</v>
      </c>
    </row>
    <row r="15" spans="1:13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21.75" customHeight="1" x14ac:dyDescent="0.3">
      <c r="A16" s="9" t="s">
        <v>390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27.75" customHeight="1" x14ac:dyDescent="0.3">
      <c r="A17" s="13" t="s">
        <v>391</v>
      </c>
      <c r="B17" s="13" t="s">
        <v>392</v>
      </c>
      <c r="C17" s="13" t="s">
        <v>393</v>
      </c>
      <c r="D17" s="76" t="s">
        <v>394</v>
      </c>
      <c r="E17" s="76"/>
      <c r="F17" s="76"/>
      <c r="G17" s="76" t="s">
        <v>395</v>
      </c>
      <c r="H17" s="76"/>
      <c r="I17" s="76"/>
      <c r="J17" s="76"/>
      <c r="K17" s="76"/>
      <c r="L17" s="76"/>
      <c r="M17" s="76"/>
    </row>
    <row r="18" spans="1:13" ht="30" customHeight="1" x14ac:dyDescent="0.3">
      <c r="A18" s="31">
        <v>2026</v>
      </c>
      <c r="B18" s="15" t="s">
        <v>396</v>
      </c>
      <c r="C18" s="27" t="s">
        <v>397</v>
      </c>
      <c r="D18" s="1" t="s">
        <v>398</v>
      </c>
      <c r="E18" s="1"/>
      <c r="F18" s="1"/>
      <c r="G18" s="1" t="s">
        <v>399</v>
      </c>
      <c r="H18" s="1"/>
      <c r="I18" s="1"/>
      <c r="J18" s="1"/>
      <c r="K18" s="1"/>
      <c r="L18" s="1"/>
      <c r="M18" s="1"/>
    </row>
    <row r="19" spans="1:13" ht="30" customHeight="1" x14ac:dyDescent="0.3">
      <c r="A19" s="31">
        <v>2026</v>
      </c>
      <c r="B19" s="15" t="s">
        <v>400</v>
      </c>
      <c r="C19" s="27" t="s">
        <v>113</v>
      </c>
      <c r="D19" s="1" t="s">
        <v>401</v>
      </c>
      <c r="E19" s="1"/>
      <c r="F19" s="1"/>
      <c r="G19" s="1" t="s">
        <v>402</v>
      </c>
      <c r="H19" s="1"/>
      <c r="I19" s="1"/>
      <c r="J19" s="1"/>
      <c r="K19" s="1"/>
      <c r="L19" s="1"/>
      <c r="M19" s="1"/>
    </row>
    <row r="20" spans="1:13" ht="30" customHeight="1" x14ac:dyDescent="0.3">
      <c r="A20" s="31">
        <v>2027</v>
      </c>
      <c r="B20" s="15" t="s">
        <v>403</v>
      </c>
      <c r="C20" s="27" t="s">
        <v>404</v>
      </c>
      <c r="D20" s="1" t="s">
        <v>405</v>
      </c>
      <c r="E20" s="1"/>
      <c r="F20" s="1"/>
      <c r="G20" s="1" t="s">
        <v>406</v>
      </c>
      <c r="H20" s="1"/>
      <c r="I20" s="1"/>
      <c r="J20" s="1"/>
      <c r="K20" s="1"/>
      <c r="L20" s="1"/>
      <c r="M20" s="1"/>
    </row>
    <row r="21" spans="1:13" ht="30" customHeight="1" x14ac:dyDescent="0.3">
      <c r="A21" s="31">
        <v>2028</v>
      </c>
      <c r="B21" s="15" t="s">
        <v>407</v>
      </c>
      <c r="C21" s="27" t="s">
        <v>113</v>
      </c>
      <c r="D21" s="1" t="s">
        <v>408</v>
      </c>
      <c r="E21" s="1"/>
      <c r="F21" s="1"/>
      <c r="G21" s="1" t="s">
        <v>409</v>
      </c>
      <c r="H21" s="1"/>
      <c r="I21" s="1"/>
      <c r="J21" s="1"/>
      <c r="K21" s="1"/>
      <c r="L21" s="1"/>
      <c r="M21" s="1"/>
    </row>
    <row r="22" spans="1:13" ht="30" customHeight="1" x14ac:dyDescent="0.3">
      <c r="A22" s="31">
        <v>2029</v>
      </c>
      <c r="B22" s="15" t="s">
        <v>410</v>
      </c>
      <c r="C22" s="27" t="s">
        <v>404</v>
      </c>
      <c r="D22" s="1" t="s">
        <v>405</v>
      </c>
      <c r="E22" s="1"/>
      <c r="F22" s="1"/>
      <c r="G22" s="1" t="s">
        <v>411</v>
      </c>
      <c r="H22" s="1"/>
      <c r="I22" s="1"/>
      <c r="J22" s="1"/>
      <c r="K22" s="1"/>
      <c r="L22" s="1"/>
      <c r="M22" s="1"/>
    </row>
    <row r="23" spans="1:13" ht="30" customHeight="1" x14ac:dyDescent="0.3">
      <c r="A23" s="31">
        <v>2031</v>
      </c>
      <c r="B23" s="15" t="s">
        <v>412</v>
      </c>
      <c r="C23" s="27" t="s">
        <v>110</v>
      </c>
      <c r="D23" s="1" t="s">
        <v>413</v>
      </c>
      <c r="E23" s="1"/>
      <c r="F23" s="1"/>
      <c r="G23" s="1" t="s">
        <v>414</v>
      </c>
      <c r="H23" s="1"/>
      <c r="I23" s="1"/>
      <c r="J23" s="1"/>
      <c r="K23" s="1"/>
      <c r="L23" s="1"/>
      <c r="M23" s="1"/>
    </row>
    <row r="24" spans="1:13" ht="30" customHeight="1" x14ac:dyDescent="0.3">
      <c r="A24" s="31">
        <v>2034</v>
      </c>
      <c r="B24" s="15" t="s">
        <v>415</v>
      </c>
      <c r="C24" s="27" t="s">
        <v>416</v>
      </c>
      <c r="D24" s="1" t="s">
        <v>417</v>
      </c>
      <c r="E24" s="1"/>
      <c r="F24" s="1"/>
      <c r="G24" s="1" t="s">
        <v>418</v>
      </c>
      <c r="H24" s="1"/>
      <c r="I24" s="1"/>
      <c r="J24" s="1"/>
      <c r="K24" s="1"/>
      <c r="L24" s="1"/>
      <c r="M24" s="1"/>
    </row>
  </sheetData>
  <mergeCells count="23">
    <mergeCell ref="D22:F22"/>
    <mergeCell ref="G22:M22"/>
    <mergeCell ref="D23:F23"/>
    <mergeCell ref="G23:M23"/>
    <mergeCell ref="D24:F24"/>
    <mergeCell ref="G24:M24"/>
    <mergeCell ref="D19:F19"/>
    <mergeCell ref="G19:M19"/>
    <mergeCell ref="D20:F20"/>
    <mergeCell ref="G20:M20"/>
    <mergeCell ref="D21:F21"/>
    <mergeCell ref="G21:M21"/>
    <mergeCell ref="A16:M16"/>
    <mergeCell ref="D17:F17"/>
    <mergeCell ref="G17:M17"/>
    <mergeCell ref="D18:F18"/>
    <mergeCell ref="G18:M18"/>
    <mergeCell ref="A1:J1"/>
    <mergeCell ref="K1:M1"/>
    <mergeCell ref="A2:J2"/>
    <mergeCell ref="K2:M2"/>
    <mergeCell ref="A3:J3"/>
    <mergeCell ref="K3:M3"/>
  </mergeCells>
  <conditionalFormatting sqref="D5:L14">
    <cfRule type="expression" dxfId="5" priority="2">
      <formula>OR(D5="Operación")</formula>
    </cfRule>
    <cfRule type="expression" dxfId="4" priority="3">
      <formula>OR(D5="Construcción",D5="Túnel Chiriaco",D5="Canal Principal")</formula>
    </cfRule>
    <cfRule type="expression" dxfId="3" priority="4">
      <formula>OR(D5="Entrega 19km",D5="Entrega 50km",D5="Entrega 10kha")</formula>
    </cfRule>
    <cfRule type="expression" dxfId="2" priority="5">
      <formula>OR(D5="Concluido",D5="Liquidado",D5="Liquidación",D5="Garantía")</formula>
    </cfRule>
    <cfRule type="expression" dxfId="1" priority="6">
      <formula>OR(D5="Reversión",D5="Reversión MTC")</formula>
    </cfRule>
    <cfRule type="expression" dxfId="0" priority="7">
      <formula>OR(D5="-")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9DB"/>
    <pageSetUpPr fitToPage="1"/>
  </sheetPr>
  <dimension ref="A1:U105"/>
  <sheetViews>
    <sheetView showGridLines="0" topLeftCell="A22" zoomScaleNormal="100" workbookViewId="0">
      <selection activeCell="D30" sqref="D30"/>
    </sheetView>
  </sheetViews>
  <sheetFormatPr baseColWidth="10" defaultColWidth="8.59765625" defaultRowHeight="15.6" x14ac:dyDescent="0.3"/>
  <cols>
    <col min="1" max="1" width="40" customWidth="1"/>
    <col min="2" max="3" width="24" customWidth="1"/>
    <col min="4" max="4" width="26" customWidth="1"/>
    <col min="5" max="5" width="24" customWidth="1"/>
    <col min="6" max="6" width="3" customWidth="1"/>
    <col min="18" max="21" width="17" customWidth="1"/>
  </cols>
  <sheetData>
    <row r="1" spans="1:21" ht="36" customHeight="1" x14ac:dyDescent="0.3">
      <c r="A1" s="7" t="s">
        <v>419</v>
      </c>
      <c r="B1" s="7"/>
      <c r="C1" s="7"/>
      <c r="D1" s="10" t="s">
        <v>312</v>
      </c>
      <c r="E1" s="10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30" customHeight="1" x14ac:dyDescent="0.3">
      <c r="A2" s="78" t="s">
        <v>420</v>
      </c>
      <c r="B2" s="78"/>
      <c r="C2" s="78"/>
      <c r="D2" s="10" t="s">
        <v>3</v>
      </c>
      <c r="E2" s="10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1.75" customHeight="1" x14ac:dyDescent="0.3">
      <c r="A3" s="79"/>
      <c r="B3" s="79"/>
      <c r="C3" s="79"/>
      <c r="D3" s="10" t="s">
        <v>421</v>
      </c>
      <c r="E3" s="10"/>
      <c r="F3" s="12"/>
      <c r="G3" s="57" t="s">
        <v>422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21.75" customHeight="1" x14ac:dyDescent="0.3">
      <c r="A4" s="9" t="s">
        <v>423</v>
      </c>
      <c r="B4" s="9"/>
      <c r="C4" s="9"/>
      <c r="D4" s="9"/>
      <c r="E4" s="9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31.5" customHeight="1" x14ac:dyDescent="0.3">
      <c r="A5" s="13" t="s">
        <v>91</v>
      </c>
      <c r="B5" s="13" t="s">
        <v>424</v>
      </c>
      <c r="C5" s="13" t="s">
        <v>100</v>
      </c>
      <c r="D5" s="13" t="s">
        <v>425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3">
      <c r="A6" s="49" t="s">
        <v>426</v>
      </c>
      <c r="B6" s="21">
        <f>'01_Resumen_Portafolio'!D31/10^6</f>
        <v>3230</v>
      </c>
      <c r="C6" s="58">
        <f>'01_Resumen_Portafolio'!E31</f>
        <v>0.88876048180173484</v>
      </c>
      <c r="D6" s="15" t="str">
        <f>A6&amp;" (S/ "&amp;TEXT(B6,"#,##0")&amp;" M)"</f>
        <v>Estratégicos (S/ 3,230 M)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3">
      <c r="A7" s="49" t="s">
        <v>56</v>
      </c>
      <c r="B7" s="21">
        <f>'01_Resumen_Portafolio'!D32/10^6</f>
        <v>362.27499999999998</v>
      </c>
      <c r="C7" s="58">
        <f>'01_Resumen_Portafolio'!E32</f>
        <v>9.9682880354403564E-2</v>
      </c>
      <c r="D7" s="15" t="str">
        <f>A7&amp;" (S/ "&amp;TEXT(B7,"#,##0")&amp;" M)"</f>
        <v>Sostenibilidad (S/ 362 M)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3">
      <c r="A8" s="49" t="s">
        <v>427</v>
      </c>
      <c r="B8" s="21">
        <f>'01_Resumen_Portafolio'!D33/10^6</f>
        <v>42</v>
      </c>
      <c r="C8" s="58">
        <f>'01_Resumen_Portafolio'!E33</f>
        <v>1.1556637843861567E-2</v>
      </c>
      <c r="D8" s="15" t="str">
        <f>A8&amp;" (S/ "&amp;TEXT(B8,"#,##0")&amp;" M)"</f>
        <v>Tácticos (S/ 42 M)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3">
      <c r="A9" s="59" t="s">
        <v>96</v>
      </c>
      <c r="B9" s="60">
        <f>SUM(B6:B8)</f>
        <v>3634.2750000000001</v>
      </c>
      <c r="C9" s="61">
        <f>SUM(C6:C8)</f>
        <v>0.99999999999999989</v>
      </c>
      <c r="D9" s="2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21.75" customHeight="1" x14ac:dyDescent="0.3">
      <c r="A11" s="9" t="s">
        <v>428</v>
      </c>
      <c r="B11" s="9"/>
      <c r="C11" s="9"/>
      <c r="D11" s="9"/>
      <c r="E11" s="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31.5" customHeight="1" x14ac:dyDescent="0.3">
      <c r="A12" s="13" t="s">
        <v>226</v>
      </c>
      <c r="B12" s="13" t="s">
        <v>429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3">
      <c r="A13" s="62" t="s">
        <v>416</v>
      </c>
      <c r="B13" s="20">
        <f>'02_Alineacion_Estrategica'!D21</f>
        <v>2.6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3">
      <c r="A14" s="62" t="s">
        <v>430</v>
      </c>
      <c r="B14" s="20">
        <f>'02_Alineacion_Estrategica'!E21</f>
        <v>2.38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3">
      <c r="A15" s="62" t="s">
        <v>431</v>
      </c>
      <c r="B15" s="20">
        <f>'02_Alineacion_Estrategica'!F21</f>
        <v>2.48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3">
      <c r="A16" s="62" t="s">
        <v>404</v>
      </c>
      <c r="B16" s="20">
        <f>'02_Alineacion_Estrategica'!G21</f>
        <v>2.23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3">
      <c r="A17" s="62" t="s">
        <v>432</v>
      </c>
      <c r="B17" s="20">
        <f>'02_Alineacion_Estrategica'!H21</f>
        <v>2.15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3">
      <c r="A18" s="62" t="s">
        <v>433</v>
      </c>
      <c r="B18" s="20">
        <f>'02_Alineacion_Estrategica'!I21</f>
        <v>2.15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3">
      <c r="A19" s="62" t="s">
        <v>434</v>
      </c>
      <c r="B19" s="20">
        <f>'02_Alineacion_Estrategica'!J21</f>
        <v>2.15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3">
      <c r="A20" s="62" t="s">
        <v>435</v>
      </c>
      <c r="B20" s="20">
        <f>'02_Alineacion_Estrategica'!K21</f>
        <v>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3">
      <c r="A21" s="62" t="s">
        <v>436</v>
      </c>
      <c r="B21" s="20">
        <f>'02_Alineacion_Estrategica'!L21</f>
        <v>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62" t="s">
        <v>437</v>
      </c>
      <c r="B22" s="20">
        <f>'02_Alineacion_Estrategica'!M21</f>
        <v>1.92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21.75" customHeight="1" x14ac:dyDescent="0.3">
      <c r="A24" s="9" t="s">
        <v>438</v>
      </c>
      <c r="B24" s="9"/>
      <c r="C24" s="9"/>
      <c r="D24" s="9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31.5" customHeight="1" x14ac:dyDescent="0.3">
      <c r="A25" s="13" t="s">
        <v>439</v>
      </c>
      <c r="B25" s="13" t="s">
        <v>108</v>
      </c>
      <c r="C25" s="13" t="s">
        <v>109</v>
      </c>
      <c r="D25" s="13" t="s">
        <v>110</v>
      </c>
      <c r="E25" s="13" t="s">
        <v>113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3">
      <c r="A26" s="63" t="s">
        <v>440</v>
      </c>
      <c r="B26" s="64">
        <f>'04_Scoring_Priorizacion'!C7</f>
        <v>3</v>
      </c>
      <c r="C26" s="64">
        <f>'04_Scoring_Priorizacion'!C8</f>
        <v>3</v>
      </c>
      <c r="D26" s="64">
        <f>'04_Scoring_Priorizacion'!C9</f>
        <v>3</v>
      </c>
      <c r="E26" s="64">
        <f>'04_Scoring_Priorizacion'!C12</f>
        <v>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3">
      <c r="A27" s="63" t="s">
        <v>441</v>
      </c>
      <c r="B27" s="64">
        <f>'04_Scoring_Priorizacion'!F7</f>
        <v>2</v>
      </c>
      <c r="C27" s="64">
        <f>'04_Scoring_Priorizacion'!F8</f>
        <v>2</v>
      </c>
      <c r="D27" s="64">
        <f>'04_Scoring_Priorizacion'!F9</f>
        <v>2</v>
      </c>
      <c r="E27" s="64">
        <f>'04_Scoring_Priorizacion'!F12</f>
        <v>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3">
      <c r="A28" s="63" t="s">
        <v>442</v>
      </c>
      <c r="B28" s="64">
        <f>'04_Scoring_Priorizacion'!G7</f>
        <v>3</v>
      </c>
      <c r="C28" s="64">
        <f>'04_Scoring_Priorizacion'!G8</f>
        <v>3</v>
      </c>
      <c r="D28" s="64">
        <f>'04_Scoring_Priorizacion'!G9</f>
        <v>3</v>
      </c>
      <c r="E28" s="64">
        <f>'04_Scoring_Priorizacion'!G12</f>
        <v>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3">
      <c r="A29" s="63" t="s">
        <v>443</v>
      </c>
      <c r="B29" s="64">
        <f>'04_Scoring_Priorizacion'!H7</f>
        <v>3</v>
      </c>
      <c r="C29" s="64">
        <f>'04_Scoring_Priorizacion'!H8</f>
        <v>2</v>
      </c>
      <c r="D29" s="64">
        <f>'04_Scoring_Priorizacion'!H9</f>
        <v>3</v>
      </c>
      <c r="E29" s="64">
        <f>'04_Scoring_Priorizacion'!H12</f>
        <v>2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3">
      <c r="A30" s="63" t="s">
        <v>444</v>
      </c>
      <c r="B30" s="64">
        <f>'04_Scoring_Priorizacion'!D7</f>
        <v>3</v>
      </c>
      <c r="C30" s="64">
        <f>'04_Scoring_Priorizacion'!D8</f>
        <v>3</v>
      </c>
      <c r="D30" s="64">
        <f>'04_Scoring_Priorizacion'!D9</f>
        <v>2</v>
      </c>
      <c r="E30" s="64">
        <f>'04_Scoring_Priorizacion'!D12</f>
        <v>2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3">
      <c r="A31" s="63" t="s">
        <v>445</v>
      </c>
      <c r="B31" s="64">
        <f>'04_Scoring_Priorizacion'!E7</f>
        <v>3</v>
      </c>
      <c r="C31" s="64">
        <f>'04_Scoring_Priorizacion'!E8</f>
        <v>3</v>
      </c>
      <c r="D31" s="64">
        <f>'04_Scoring_Priorizacion'!E9</f>
        <v>3</v>
      </c>
      <c r="E31" s="64">
        <f>'04_Scoring_Priorizacion'!E12</f>
        <v>3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21.75" customHeight="1" x14ac:dyDescent="0.3">
      <c r="A33" s="9" t="s">
        <v>446</v>
      </c>
      <c r="B33" s="9"/>
      <c r="C33" s="9"/>
      <c r="D33" s="9"/>
      <c r="E33" s="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31.5" customHeight="1" x14ac:dyDescent="0.3">
      <c r="A34" s="13" t="s">
        <v>226</v>
      </c>
      <c r="B34" s="13" t="s">
        <v>447</v>
      </c>
      <c r="C34" s="13" t="s">
        <v>448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3">
      <c r="A35" s="62" t="s">
        <v>416</v>
      </c>
      <c r="B35" s="20">
        <f>'02_Alineacion_Estrategica'!D21</f>
        <v>2.6</v>
      </c>
      <c r="C35" s="20">
        <f>'03_Evaluacion_Riesgos'!C17</f>
        <v>1.9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3">
      <c r="A36" s="62" t="s">
        <v>449</v>
      </c>
      <c r="B36" s="20">
        <f>'02_Alineacion_Estrategica'!E21</f>
        <v>2.38</v>
      </c>
      <c r="C36" s="20">
        <f>'03_Evaluacion_Riesgos'!C18</f>
        <v>2.1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3">
      <c r="A37" s="62" t="s">
        <v>450</v>
      </c>
      <c r="B37" s="20">
        <f>'02_Alineacion_Estrategica'!F21</f>
        <v>2.48</v>
      </c>
      <c r="C37" s="20">
        <f>'03_Evaluacion_Riesgos'!C19</f>
        <v>1.85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3">
      <c r="A38" s="62" t="s">
        <v>451</v>
      </c>
      <c r="B38" s="20">
        <f>'02_Alineacion_Estrategica'!G21</f>
        <v>2.23</v>
      </c>
      <c r="C38" s="20">
        <f>'03_Evaluacion_Riesgos'!C20</f>
        <v>1.6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3">
      <c r="A39" s="62" t="s">
        <v>452</v>
      </c>
      <c r="B39" s="20">
        <f>'02_Alineacion_Estrategica'!H21</f>
        <v>2.15</v>
      </c>
      <c r="C39" s="20">
        <f>'03_Evaluacion_Riesgos'!C21</f>
        <v>1.95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3">
      <c r="A40" s="62" t="s">
        <v>453</v>
      </c>
      <c r="B40" s="20">
        <f>'02_Alineacion_Estrategica'!I21</f>
        <v>2.15</v>
      </c>
      <c r="C40" s="20">
        <f>'03_Evaluacion_Riesgos'!C22</f>
        <v>1.75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3">
      <c r="A41" s="62" t="s">
        <v>434</v>
      </c>
      <c r="B41" s="20">
        <f>'02_Alineacion_Estrategica'!J21</f>
        <v>2.15</v>
      </c>
      <c r="C41" s="20">
        <f>'03_Evaluacion_Riesgos'!C23</f>
        <v>1.5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3">
      <c r="A42" s="62" t="s">
        <v>454</v>
      </c>
      <c r="B42" s="20">
        <f>'02_Alineacion_Estrategica'!K21</f>
        <v>2</v>
      </c>
      <c r="C42" s="20">
        <f>'03_Evaluacion_Riesgos'!C24</f>
        <v>1.3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3">
      <c r="A43" s="62" t="s">
        <v>455</v>
      </c>
      <c r="B43" s="20">
        <f>'02_Alineacion_Estrategica'!L21</f>
        <v>2</v>
      </c>
      <c r="C43" s="20">
        <f>'03_Evaluacion_Riesgos'!C25</f>
        <v>1.4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3">
      <c r="A44" s="62" t="s">
        <v>456</v>
      </c>
      <c r="B44" s="20">
        <f>'02_Alineacion_Estrategica'!M21</f>
        <v>1.92</v>
      </c>
      <c r="C44" s="20">
        <f>'03_Evaluacion_Riesgos'!C26</f>
        <v>1.2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21.75" customHeight="1" x14ac:dyDescent="0.3">
      <c r="A46" s="9" t="s">
        <v>457</v>
      </c>
      <c r="B46" s="9"/>
      <c r="C46" s="9"/>
      <c r="D46" s="9"/>
      <c r="E46" s="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31.5" customHeight="1" x14ac:dyDescent="0.3">
      <c r="A47" s="13" t="s">
        <v>458</v>
      </c>
      <c r="B47" s="13" t="s">
        <v>342</v>
      </c>
      <c r="C47" s="13" t="s">
        <v>343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3">
      <c r="A48" s="65" t="s">
        <v>459</v>
      </c>
      <c r="B48" s="19">
        <f>'06_Capacidad_y_Balance'!B23</f>
        <v>4389</v>
      </c>
      <c r="C48" s="19">
        <f>'06_Capacidad_y_Balance'!C23</f>
        <v>1068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3">
      <c r="A49" s="65" t="s">
        <v>460</v>
      </c>
      <c r="B49" s="19">
        <f>'06_Capacidad_y_Balance'!B24</f>
        <v>8046</v>
      </c>
      <c r="C49" s="19">
        <f>'06_Capacidad_y_Balance'!C24</f>
        <v>1068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3">
      <c r="A50" s="65" t="s">
        <v>461</v>
      </c>
      <c r="B50" s="19">
        <f>'06_Capacidad_y_Balance'!B25</f>
        <v>5852</v>
      </c>
      <c r="C50" s="19">
        <f>'06_Capacidad_y_Balance'!C25</f>
        <v>1068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3">
      <c r="A51" s="65" t="s">
        <v>352</v>
      </c>
      <c r="B51" s="19">
        <f>'06_Capacidad_y_Balance'!B26</f>
        <v>6346</v>
      </c>
      <c r="C51" s="19">
        <f>'06_Capacidad_y_Balance'!C26</f>
        <v>6346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1.75" customHeight="1" x14ac:dyDescent="0.3">
      <c r="A53" s="9" t="s">
        <v>462</v>
      </c>
      <c r="B53" s="9"/>
      <c r="C53" s="9"/>
      <c r="D53" s="9"/>
      <c r="E53" s="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31.5" customHeight="1" x14ac:dyDescent="0.3">
      <c r="A54" s="13" t="s">
        <v>91</v>
      </c>
      <c r="B54" s="13" t="s">
        <v>463</v>
      </c>
      <c r="C54" s="13" t="s">
        <v>100</v>
      </c>
      <c r="D54" s="13" t="s">
        <v>425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3">
      <c r="A55" s="49" t="s">
        <v>426</v>
      </c>
      <c r="B55" s="64">
        <f>'01_Resumen_Portafolio'!B31</f>
        <v>5</v>
      </c>
      <c r="C55" s="66">
        <f>B55/$B$58</f>
        <v>0.5</v>
      </c>
      <c r="D55" s="15" t="str">
        <f>A55&amp;" ("&amp;B55&amp;")"</f>
        <v>Estratégicos (5)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3">
      <c r="A56" s="49" t="s">
        <v>56</v>
      </c>
      <c r="B56" s="64">
        <f>'01_Resumen_Portafolio'!B32</f>
        <v>3</v>
      </c>
      <c r="C56" s="66">
        <f>B56/$B$58</f>
        <v>0.3</v>
      </c>
      <c r="D56" s="15" t="str">
        <f>A56&amp;" ("&amp;B56&amp;")"</f>
        <v>Sostenibilidad (3)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3">
      <c r="A57" s="49" t="s">
        <v>427</v>
      </c>
      <c r="B57" s="64">
        <f>'01_Resumen_Portafolio'!B33</f>
        <v>2</v>
      </c>
      <c r="C57" s="66">
        <f>B57/$B$58</f>
        <v>0.2</v>
      </c>
      <c r="D57" s="15" t="str">
        <f>A57&amp;" ("&amp;B57&amp;")"</f>
        <v>Tácticos (2)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3">
      <c r="A58" s="59" t="s">
        <v>96</v>
      </c>
      <c r="B58" s="32">
        <f>SUM(B55:B57)</f>
        <v>10</v>
      </c>
      <c r="C58" s="67">
        <f>SUM(C55:C57)</f>
        <v>1</v>
      </c>
      <c r="D58" s="28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3">
      <c r="A59" s="82" t="str">
        <f>TEXT(C55,"0%")&amp;" Estratégicos · "&amp;TEXT(C56,"0%")&amp;" Sostenibilidad · "&amp;TEXT(C57,"0%")&amp;" Tácticos"</f>
        <v>50% Estratégicos · 30% Sostenibilidad · 20% Tácticos</v>
      </c>
      <c r="B59" s="82"/>
      <c r="C59" s="82"/>
      <c r="D59" s="82"/>
      <c r="E59" s="8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21.75" customHeight="1" x14ac:dyDescent="0.3">
      <c r="A61" s="9" t="s">
        <v>464</v>
      </c>
      <c r="B61" s="9"/>
      <c r="C61" s="9"/>
      <c r="D61" s="9"/>
      <c r="E61" s="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31.5" customHeight="1" x14ac:dyDescent="0.3">
      <c r="A62" s="13" t="s">
        <v>226</v>
      </c>
      <c r="B62" s="13" t="str">
        <f>"Alineación ("&amp;TEXT('04_Scoring_Priorizacion'!C6,"0%")&amp;")"</f>
        <v>Alineación (30%)</v>
      </c>
      <c r="C62" s="13" t="str">
        <f>"Riesgo ("&amp;TEXT('04_Scoring_Priorizacion'!F6,"0%")&amp;")"</f>
        <v>Riesgo (20%)</v>
      </c>
      <c r="D62" s="13" t="str">
        <f>"ROI ("&amp;TEXT('04_Scoring_Priorizacion'!G6,"0%")&amp;")"</f>
        <v>ROI (20%)</v>
      </c>
      <c r="E62" s="13" t="str">
        <f>"Costo ("&amp;TEXT('04_Scoring_Priorizacion'!H6,"0%")&amp;")"</f>
        <v>Costo (10%)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3">
      <c r="A63" s="63" t="str">
        <f>"P"&amp;'04_Scoring_Priorizacion'!A7&amp;" "&amp;'04_Scoring_Priorizacion'!B7</f>
        <v>P1 Autopista del Sol</v>
      </c>
      <c r="B63" s="64">
        <f>'04_Scoring_Priorizacion'!C7</f>
        <v>3</v>
      </c>
      <c r="C63" s="64">
        <f>'04_Scoring_Priorizacion'!F7</f>
        <v>2</v>
      </c>
      <c r="D63" s="64">
        <f>'04_Scoring_Priorizacion'!G7</f>
        <v>3</v>
      </c>
      <c r="E63" s="64">
        <f>'04_Scoring_Priorizacion'!H7</f>
        <v>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3">
      <c r="A64" s="63" t="str">
        <f>"P"&amp;'04_Scoring_Priorizacion'!A8&amp;" "&amp;'04_Scoring_Priorizacion'!B8</f>
        <v>P2 Interoceánica Sur T5</v>
      </c>
      <c r="B64" s="64">
        <f>'04_Scoring_Priorizacion'!C8</f>
        <v>3</v>
      </c>
      <c r="C64" s="64">
        <f>'04_Scoring_Priorizacion'!F8</f>
        <v>2</v>
      </c>
      <c r="D64" s="64">
        <f>'04_Scoring_Priorizacion'!G8</f>
        <v>3</v>
      </c>
      <c r="E64" s="64">
        <f>'04_Scoring_Priorizacion'!H8</f>
        <v>2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3">
      <c r="A65" s="63" t="str">
        <f>"P"&amp;'04_Scoring_Priorizacion'!A9&amp;" "&amp;'04_Scoring_Priorizacion'!B9</f>
        <v>P3 Red Vial N.º 6</v>
      </c>
      <c r="B65" s="64">
        <f>'04_Scoring_Priorizacion'!C9</f>
        <v>3</v>
      </c>
      <c r="C65" s="64">
        <f>'04_Scoring_Priorizacion'!F9</f>
        <v>2</v>
      </c>
      <c r="D65" s="64">
        <f>'04_Scoring_Priorizacion'!G9</f>
        <v>3</v>
      </c>
      <c r="E65" s="64">
        <f>'04_Scoring_Priorizacion'!H9</f>
        <v>3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3">
      <c r="A66" s="63" t="str">
        <f>"P"&amp;'04_Scoring_Priorizacion'!A10&amp;" "&amp;'04_Scoring_Priorizacion'!B10</f>
        <v>P4 Segunda Calzada Puno-Juliaca</v>
      </c>
      <c r="B66" s="64">
        <f>'04_Scoring_Priorizacion'!C10</f>
        <v>3</v>
      </c>
      <c r="C66" s="64">
        <f>'04_Scoring_Priorizacion'!F10</f>
        <v>1</v>
      </c>
      <c r="D66" s="64">
        <f>'04_Scoring_Priorizacion'!G10</f>
        <v>2</v>
      </c>
      <c r="E66" s="64">
        <f>'04_Scoring_Priorizacion'!H10</f>
        <v>2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3">
      <c r="A67" s="63" t="str">
        <f>"P"&amp;'04_Scoring_Priorizacion'!A11&amp;" "&amp;'04_Scoring_Priorizacion'!B11</f>
        <v>P5 Terminal Portuario Yurimaguas</v>
      </c>
      <c r="B67" s="64">
        <f>'04_Scoring_Priorizacion'!C11</f>
        <v>2</v>
      </c>
      <c r="C67" s="64">
        <f>'04_Scoring_Priorizacion'!F11</f>
        <v>2</v>
      </c>
      <c r="D67" s="64">
        <f>'04_Scoring_Priorizacion'!G11</f>
        <v>2</v>
      </c>
      <c r="E67" s="64">
        <f>'04_Scoring_Priorizacion'!H11</f>
        <v>2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3">
      <c r="A68" s="63" t="str">
        <f>"P"&amp;'04_Scoring_Priorizacion'!A12&amp;" "&amp;'04_Scoring_Priorizacion'!B12</f>
        <v>P6 Obras de Irrigación Amojao</v>
      </c>
      <c r="B68" s="64">
        <f>'04_Scoring_Priorizacion'!C12</f>
        <v>2</v>
      </c>
      <c r="C68" s="64">
        <f>'04_Scoring_Priorizacion'!F12</f>
        <v>2</v>
      </c>
      <c r="D68" s="64">
        <f>'04_Scoring_Priorizacion'!G12</f>
        <v>2</v>
      </c>
      <c r="E68" s="64">
        <f>'04_Scoring_Priorizacion'!H12</f>
        <v>2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3">
      <c r="A69" s="63" t="str">
        <f>"P"&amp;'04_Scoring_Priorizacion'!A13&amp;" "&amp;'04_Scoring_Priorizacion'!B13</f>
        <v>P7 Red Vial Huallaga</v>
      </c>
      <c r="B69" s="64">
        <f>'04_Scoring_Priorizacion'!C13</f>
        <v>2</v>
      </c>
      <c r="C69" s="64">
        <f>'04_Scoring_Priorizacion'!F13</f>
        <v>2</v>
      </c>
      <c r="D69" s="64">
        <f>'04_Scoring_Priorizacion'!G13</f>
        <v>2</v>
      </c>
      <c r="E69" s="64">
        <f>'04_Scoring_Priorizacion'!H13</f>
        <v>2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3">
      <c r="A70" s="63" t="str">
        <f>"P"&amp;'04_Scoring_Priorizacion'!A14&amp;" "&amp;'04_Scoring_Priorizacion'!B14</f>
        <v>P8 Conservación P. Pejerrey</v>
      </c>
      <c r="B70" s="64">
        <f>'04_Scoring_Priorizacion'!C14</f>
        <v>2</v>
      </c>
      <c r="C70" s="64">
        <f>'04_Scoring_Priorizacion'!F14</f>
        <v>1</v>
      </c>
      <c r="D70" s="64">
        <f>'04_Scoring_Priorizacion'!G14</f>
        <v>2</v>
      </c>
      <c r="E70" s="64">
        <f>'04_Scoring_Priorizacion'!H14</f>
        <v>1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3">
      <c r="A71" s="63" t="str">
        <f>"P"&amp;'04_Scoring_Priorizacion'!A15&amp;" "&amp;'04_Scoring_Priorizacion'!B15</f>
        <v>P9 Presa Poechos (Cuenco)</v>
      </c>
      <c r="B71" s="64">
        <f>'04_Scoring_Priorizacion'!C15</f>
        <v>2</v>
      </c>
      <c r="C71" s="64">
        <f>'04_Scoring_Priorizacion'!F15</f>
        <v>1</v>
      </c>
      <c r="D71" s="64">
        <f>'04_Scoring_Priorizacion'!G15</f>
        <v>1</v>
      </c>
      <c r="E71" s="64">
        <f>'04_Scoring_Priorizacion'!H15</f>
        <v>2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3">
      <c r="A72" s="63" t="str">
        <f>"P"&amp;'04_Scoring_Priorizacion'!A16&amp;" "&amp;'04_Scoring_Priorizacion'!B16</f>
        <v>P10 Agua Potable Piura-Castilla</v>
      </c>
      <c r="B72" s="64">
        <f>'04_Scoring_Priorizacion'!C16</f>
        <v>1</v>
      </c>
      <c r="C72" s="64">
        <f>'04_Scoring_Priorizacion'!F16</f>
        <v>1</v>
      </c>
      <c r="D72" s="64">
        <f>'04_Scoring_Priorizacion'!G16</f>
        <v>1</v>
      </c>
      <c r="E72" s="64">
        <f>'04_Scoring_Priorizacion'!H16</f>
        <v>1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ht="21.75" customHeight="1" x14ac:dyDescent="0.3">
      <c r="A74" s="9" t="s">
        <v>465</v>
      </c>
      <c r="B74" s="9"/>
      <c r="C74" s="9"/>
      <c r="D74" s="9"/>
      <c r="E74" s="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3">
      <c r="A75" s="54" t="s">
        <v>466</v>
      </c>
      <c r="B75" s="68">
        <v>1.85</v>
      </c>
      <c r="C75" s="69" t="s">
        <v>467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x14ac:dyDescent="0.3">
      <c r="A76" s="54" t="s">
        <v>468</v>
      </c>
      <c r="B76" s="68">
        <v>1.5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ht="31.5" customHeight="1" x14ac:dyDescent="0.3">
      <c r="A77" s="13" t="s">
        <v>226</v>
      </c>
      <c r="B77" s="13" t="s">
        <v>227</v>
      </c>
      <c r="C77" s="13" t="str">
        <f>"Alto / Crítico (≥ "&amp;TEXT(B75,"0.00")&amp;")"</f>
        <v>Alto / Crítico (≥ 1.85)</v>
      </c>
      <c r="D77" s="13" t="str">
        <f>"Medio (≥ "&amp;TEXT(B76,"0.00")&amp;")"</f>
        <v>Medio (≥ 1.50)</v>
      </c>
      <c r="E77" s="13" t="str">
        <f>"Bajo (&lt; "&amp;TEXT(B76,"0.00")&amp;")"</f>
        <v>Bajo (&lt; 1.50)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x14ac:dyDescent="0.3">
      <c r="A78" s="70" t="str">
        <f>"P"&amp;'03_Evaluacion_Riesgos'!A17&amp;" "&amp;'03_Evaluacion_Riesgos'!B17</f>
        <v>P1 Autopista del Sol</v>
      </c>
      <c r="B78" s="71">
        <f>'03_Evaluacion_Riesgos'!C17</f>
        <v>1.9</v>
      </c>
      <c r="C78" s="71">
        <f t="shared" ref="C78:C87" si="0">IF(B78&gt;=$B$75,B78,0)</f>
        <v>1.9</v>
      </c>
      <c r="D78" s="71">
        <f t="shared" ref="D78:D87" si="1">IF(AND(B78&gt;=$B$76,B78&lt;$B$75),B78,0)</f>
        <v>0</v>
      </c>
      <c r="E78" s="71">
        <f t="shared" ref="E78:E87" si="2">IF(B78&lt;$B$76,B78,0)</f>
        <v>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3">
      <c r="A79" s="70" t="str">
        <f>"P"&amp;'03_Evaluacion_Riesgos'!A18&amp;" "&amp;'03_Evaluacion_Riesgos'!B18</f>
        <v>P2 Interoceánica Sur T5</v>
      </c>
      <c r="B79" s="71">
        <f>'03_Evaluacion_Riesgos'!C18</f>
        <v>2.1</v>
      </c>
      <c r="C79" s="71">
        <f t="shared" si="0"/>
        <v>2.1</v>
      </c>
      <c r="D79" s="71">
        <f t="shared" si="1"/>
        <v>0</v>
      </c>
      <c r="E79" s="71">
        <f t="shared" si="2"/>
        <v>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x14ac:dyDescent="0.3">
      <c r="A80" s="70" t="str">
        <f>"P"&amp;'03_Evaluacion_Riesgos'!A19&amp;" "&amp;'03_Evaluacion_Riesgos'!B19</f>
        <v>P3 Red Vial N.º 6</v>
      </c>
      <c r="B80" s="71">
        <f>'03_Evaluacion_Riesgos'!C19</f>
        <v>1.85</v>
      </c>
      <c r="C80" s="71">
        <f t="shared" si="0"/>
        <v>1.85</v>
      </c>
      <c r="D80" s="71">
        <f t="shared" si="1"/>
        <v>0</v>
      </c>
      <c r="E80" s="71">
        <f t="shared" si="2"/>
        <v>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3">
      <c r="A81" s="70" t="str">
        <f>"P"&amp;'03_Evaluacion_Riesgos'!A20&amp;" "&amp;'03_Evaluacion_Riesgos'!B20</f>
        <v>P4 Puno - Juliaca</v>
      </c>
      <c r="B81" s="71">
        <f>'03_Evaluacion_Riesgos'!C20</f>
        <v>1.6</v>
      </c>
      <c r="C81" s="71">
        <f t="shared" si="0"/>
        <v>0</v>
      </c>
      <c r="D81" s="71">
        <f t="shared" si="1"/>
        <v>1.6</v>
      </c>
      <c r="E81" s="71">
        <f t="shared" si="2"/>
        <v>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3">
      <c r="A82" s="70" t="str">
        <f>"P"&amp;'03_Evaluacion_Riesgos'!A21&amp;" "&amp;'03_Evaluacion_Riesgos'!B21</f>
        <v>P5 Terminal Yurimaguas</v>
      </c>
      <c r="B82" s="71">
        <f>'03_Evaluacion_Riesgos'!C21</f>
        <v>1.95</v>
      </c>
      <c r="C82" s="71">
        <f t="shared" si="0"/>
        <v>1.95</v>
      </c>
      <c r="D82" s="71">
        <f t="shared" si="1"/>
        <v>0</v>
      </c>
      <c r="E82" s="71">
        <f t="shared" si="2"/>
        <v>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3">
      <c r="A83" s="70" t="str">
        <f>"P"&amp;'03_Evaluacion_Riesgos'!A22&amp;" "&amp;'03_Evaluacion_Riesgos'!B22</f>
        <v>P6 Irrigación Amojao</v>
      </c>
      <c r="B83" s="71">
        <f>'03_Evaluacion_Riesgos'!C22</f>
        <v>1.75</v>
      </c>
      <c r="C83" s="71">
        <f t="shared" si="0"/>
        <v>0</v>
      </c>
      <c r="D83" s="71">
        <f t="shared" si="1"/>
        <v>1.75</v>
      </c>
      <c r="E83" s="71">
        <f t="shared" si="2"/>
        <v>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3">
      <c r="A84" s="70" t="str">
        <f>"P"&amp;'03_Evaluacion_Riesgos'!A23&amp;" "&amp;'03_Evaluacion_Riesgos'!B23</f>
        <v>P7 Red Vial Huallaga</v>
      </c>
      <c r="B84" s="71">
        <f>'03_Evaluacion_Riesgos'!C23</f>
        <v>1.5</v>
      </c>
      <c r="C84" s="71">
        <f t="shared" si="0"/>
        <v>0</v>
      </c>
      <c r="D84" s="71">
        <f t="shared" si="1"/>
        <v>1.5</v>
      </c>
      <c r="E84" s="71">
        <f t="shared" si="2"/>
        <v>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3">
      <c r="A85" s="70" t="str">
        <f>"P"&amp;'03_Evaluacion_Riesgos'!A24&amp;" "&amp;'03_Evaluacion_Riesgos'!B24</f>
        <v>P8 Pampa Pejerrey</v>
      </c>
      <c r="B85" s="71">
        <f>'03_Evaluacion_Riesgos'!C24</f>
        <v>1.3</v>
      </c>
      <c r="C85" s="71">
        <f t="shared" si="0"/>
        <v>0</v>
      </c>
      <c r="D85" s="71">
        <f t="shared" si="1"/>
        <v>0</v>
      </c>
      <c r="E85" s="71">
        <f t="shared" si="2"/>
        <v>1.3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3">
      <c r="A86" s="70" t="str">
        <f>"P"&amp;'03_Evaluacion_Riesgos'!A25&amp;" "&amp;'03_Evaluacion_Riesgos'!B25</f>
        <v>P9 Presa Poechos</v>
      </c>
      <c r="B86" s="71">
        <f>'03_Evaluacion_Riesgos'!C25</f>
        <v>1.4</v>
      </c>
      <c r="C86" s="71">
        <f t="shared" si="0"/>
        <v>0</v>
      </c>
      <c r="D86" s="71">
        <f t="shared" si="1"/>
        <v>0</v>
      </c>
      <c r="E86" s="71">
        <f t="shared" si="2"/>
        <v>1.4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3">
      <c r="A87" s="70" t="str">
        <f>"P"&amp;'03_Evaluacion_Riesgos'!A26&amp;" "&amp;'03_Evaluacion_Riesgos'!B26</f>
        <v>P10 Agua Potable Piura</v>
      </c>
      <c r="B87" s="71">
        <f>'03_Evaluacion_Riesgos'!C26</f>
        <v>1.2</v>
      </c>
      <c r="C87" s="71">
        <f t="shared" si="0"/>
        <v>0</v>
      </c>
      <c r="D87" s="71">
        <f t="shared" si="1"/>
        <v>0</v>
      </c>
      <c r="E87" s="71">
        <f t="shared" si="2"/>
        <v>1.2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72" t="s">
        <v>469</v>
      </c>
      <c r="S97" s="12"/>
      <c r="T97" s="12"/>
      <c r="U97" s="12"/>
    </row>
    <row r="98" spans="1:2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ht="25.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3" t="s">
        <v>470</v>
      </c>
      <c r="S99" s="13" t="s">
        <v>254</v>
      </c>
      <c r="T99" s="13" t="s">
        <v>246</v>
      </c>
      <c r="U99" s="13" t="s">
        <v>231</v>
      </c>
    </row>
    <row r="100" spans="1:21" ht="42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3" t="s">
        <v>471</v>
      </c>
      <c r="S100" s="73" t="str">
        <f>IF(LEN(TRIM(IF(AND('03_Evaluacion_Riesgos'!$E$6=3,'03_Evaluacion_Riesgos'!$F$6=1),'03_Evaluacion_Riesgos'!$A$6&amp;" ","")&amp;IF(AND('03_Evaluacion_Riesgos'!$E$7=3,'03_Evaluacion_Riesgos'!$F$7=1),'03_Evaluacion_Riesgos'!$A$7&amp;" ","")&amp;IF(AND('03_Evaluacion_Riesgos'!$E$8=3,'03_Evaluacion_Riesgos'!$F$8=1),'03_Evaluacion_Riesgos'!$A$8&amp;" ","")&amp;IF(AND('03_Evaluacion_Riesgos'!$E$9=3,'03_Evaluacion_Riesgos'!$F$9=1),'03_Evaluacion_Riesgos'!$A$9&amp;" ","")&amp;IF(AND('03_Evaluacion_Riesgos'!$E$10=3,'03_Evaluacion_Riesgos'!$F$10=1),'03_Evaluacion_Riesgos'!$A$10&amp;" ","")&amp;IF(AND('03_Evaluacion_Riesgos'!$E$11=3,'03_Evaluacion_Riesgos'!$F$11=1),'03_Evaluacion_Riesgos'!$A$11&amp;" ","")&amp;IF(AND('03_Evaluacion_Riesgos'!$E$12=3,'03_Evaluacion_Riesgos'!$F$12=1),'03_Evaluacion_Riesgos'!$A$12&amp;" ","")&amp;IF(AND('03_Evaluacion_Riesgos'!$E$13=3,'03_Evaluacion_Riesgos'!$F$13=1),'03_Evaluacion_Riesgos'!$A$13&amp;" ","")))=0,"—",SUBSTITUTE(TRIM(IF(AND('03_Evaluacion_Riesgos'!$E$6=3,'03_Evaluacion_Riesgos'!$F$6=1),'03_Evaluacion_Riesgos'!$A$6&amp;" ","")&amp;IF(AND('03_Evaluacion_Riesgos'!$E$7=3,'03_Evaluacion_Riesgos'!$F$7=1),'03_Evaluacion_Riesgos'!$A$7&amp;" ","")&amp;IF(AND('03_Evaluacion_Riesgos'!$E$8=3,'03_Evaluacion_Riesgos'!$F$8=1),'03_Evaluacion_Riesgos'!$A$8&amp;" ","")&amp;IF(AND('03_Evaluacion_Riesgos'!$E$9=3,'03_Evaluacion_Riesgos'!$F$9=1),'03_Evaluacion_Riesgos'!$A$9&amp;" ","")&amp;IF(AND('03_Evaluacion_Riesgos'!$E$10=3,'03_Evaluacion_Riesgos'!$F$10=1),'03_Evaluacion_Riesgos'!$A$10&amp;" ","")&amp;IF(AND('03_Evaluacion_Riesgos'!$E$11=3,'03_Evaluacion_Riesgos'!$F$11=1),'03_Evaluacion_Riesgos'!$A$11&amp;" ","")&amp;IF(AND('03_Evaluacion_Riesgos'!$E$12=3,'03_Evaluacion_Riesgos'!$F$12=1),'03_Evaluacion_Riesgos'!$A$12&amp;" ","")&amp;IF(AND('03_Evaluacion_Riesgos'!$E$13=3,'03_Evaluacion_Riesgos'!$F$13=1),'03_Evaluacion_Riesgos'!$A$13&amp;" ",""))," ",", "))</f>
        <v>—</v>
      </c>
      <c r="T100" s="46" t="str">
        <f>IF(LEN(TRIM(IF(AND('03_Evaluacion_Riesgos'!$E$6=3,'03_Evaluacion_Riesgos'!$F$6=2),'03_Evaluacion_Riesgos'!$A$6&amp;" ","")&amp;IF(AND('03_Evaluacion_Riesgos'!$E$7=3,'03_Evaluacion_Riesgos'!$F$7=2),'03_Evaluacion_Riesgos'!$A$7&amp;" ","")&amp;IF(AND('03_Evaluacion_Riesgos'!$E$8=3,'03_Evaluacion_Riesgos'!$F$8=2),'03_Evaluacion_Riesgos'!$A$8&amp;" ","")&amp;IF(AND('03_Evaluacion_Riesgos'!$E$9=3,'03_Evaluacion_Riesgos'!$F$9=2),'03_Evaluacion_Riesgos'!$A$9&amp;" ","")&amp;IF(AND('03_Evaluacion_Riesgos'!$E$10=3,'03_Evaluacion_Riesgos'!$F$10=2),'03_Evaluacion_Riesgos'!$A$10&amp;" ","")&amp;IF(AND('03_Evaluacion_Riesgos'!$E$11=3,'03_Evaluacion_Riesgos'!$F$11=2),'03_Evaluacion_Riesgos'!$A$11&amp;" ","")&amp;IF(AND('03_Evaluacion_Riesgos'!$E$12=3,'03_Evaluacion_Riesgos'!$F$12=2),'03_Evaluacion_Riesgos'!$A$12&amp;" ","")&amp;IF(AND('03_Evaluacion_Riesgos'!$E$13=3,'03_Evaluacion_Riesgos'!$F$13=2),'03_Evaluacion_Riesgos'!$A$13&amp;" ","")))=0,"—",SUBSTITUTE(TRIM(IF(AND('03_Evaluacion_Riesgos'!$E$6=3,'03_Evaluacion_Riesgos'!$F$6=2),'03_Evaluacion_Riesgos'!$A$6&amp;" ","")&amp;IF(AND('03_Evaluacion_Riesgos'!$E$7=3,'03_Evaluacion_Riesgos'!$F$7=2),'03_Evaluacion_Riesgos'!$A$7&amp;" ","")&amp;IF(AND('03_Evaluacion_Riesgos'!$E$8=3,'03_Evaluacion_Riesgos'!$F$8=2),'03_Evaluacion_Riesgos'!$A$8&amp;" ","")&amp;IF(AND('03_Evaluacion_Riesgos'!$E$9=3,'03_Evaluacion_Riesgos'!$F$9=2),'03_Evaluacion_Riesgos'!$A$9&amp;" ","")&amp;IF(AND('03_Evaluacion_Riesgos'!$E$10=3,'03_Evaluacion_Riesgos'!$F$10=2),'03_Evaluacion_Riesgos'!$A$10&amp;" ","")&amp;IF(AND('03_Evaluacion_Riesgos'!$E$11=3,'03_Evaluacion_Riesgos'!$F$11=2),'03_Evaluacion_Riesgos'!$A$11&amp;" ","")&amp;IF(AND('03_Evaluacion_Riesgos'!$E$12=3,'03_Evaluacion_Riesgos'!$F$12=2),'03_Evaluacion_Riesgos'!$A$12&amp;" ","")&amp;IF(AND('03_Evaluacion_Riesgos'!$E$13=3,'03_Evaluacion_Riesgos'!$F$13=2),'03_Evaluacion_Riesgos'!$A$13&amp;" ",""))," ",", "))</f>
        <v>R6</v>
      </c>
      <c r="U100" s="74" t="str">
        <f>IF(LEN(TRIM(IF(AND('03_Evaluacion_Riesgos'!$E$6=3,'03_Evaluacion_Riesgos'!$F$6=3),'03_Evaluacion_Riesgos'!$A$6&amp;" ","")&amp;IF(AND('03_Evaluacion_Riesgos'!$E$7=3,'03_Evaluacion_Riesgos'!$F$7=3),'03_Evaluacion_Riesgos'!$A$7&amp;" ","")&amp;IF(AND('03_Evaluacion_Riesgos'!$E$8=3,'03_Evaluacion_Riesgos'!$F$8=3),'03_Evaluacion_Riesgos'!$A$8&amp;" ","")&amp;IF(AND('03_Evaluacion_Riesgos'!$E$9=3,'03_Evaluacion_Riesgos'!$F$9=3),'03_Evaluacion_Riesgos'!$A$9&amp;" ","")&amp;IF(AND('03_Evaluacion_Riesgos'!$E$10=3,'03_Evaluacion_Riesgos'!$F$10=3),'03_Evaluacion_Riesgos'!$A$10&amp;" ","")&amp;IF(AND('03_Evaluacion_Riesgos'!$E$11=3,'03_Evaluacion_Riesgos'!$F$11=3),'03_Evaluacion_Riesgos'!$A$11&amp;" ","")&amp;IF(AND('03_Evaluacion_Riesgos'!$E$12=3,'03_Evaluacion_Riesgos'!$F$12=3),'03_Evaluacion_Riesgos'!$A$12&amp;" ","")&amp;IF(AND('03_Evaluacion_Riesgos'!$E$13=3,'03_Evaluacion_Riesgos'!$F$13=3),'03_Evaluacion_Riesgos'!$A$13&amp;" ","")))=0,"—",SUBSTITUTE(TRIM(IF(AND('03_Evaluacion_Riesgos'!$E$6=3,'03_Evaluacion_Riesgos'!$F$6=3),'03_Evaluacion_Riesgos'!$A$6&amp;" ","")&amp;IF(AND('03_Evaluacion_Riesgos'!$E$7=3,'03_Evaluacion_Riesgos'!$F$7=3),'03_Evaluacion_Riesgos'!$A$7&amp;" ","")&amp;IF(AND('03_Evaluacion_Riesgos'!$E$8=3,'03_Evaluacion_Riesgos'!$F$8=3),'03_Evaluacion_Riesgos'!$A$8&amp;" ","")&amp;IF(AND('03_Evaluacion_Riesgos'!$E$9=3,'03_Evaluacion_Riesgos'!$F$9=3),'03_Evaluacion_Riesgos'!$A$9&amp;" ","")&amp;IF(AND('03_Evaluacion_Riesgos'!$E$10=3,'03_Evaluacion_Riesgos'!$F$10=3),'03_Evaluacion_Riesgos'!$A$10&amp;" ","")&amp;IF(AND('03_Evaluacion_Riesgos'!$E$11=3,'03_Evaluacion_Riesgos'!$F$11=3),'03_Evaluacion_Riesgos'!$A$11&amp;" ","")&amp;IF(AND('03_Evaluacion_Riesgos'!$E$12=3,'03_Evaluacion_Riesgos'!$F$12=3),'03_Evaluacion_Riesgos'!$A$12&amp;" ","")&amp;IF(AND('03_Evaluacion_Riesgos'!$E$13=3,'03_Evaluacion_Riesgos'!$F$13=3),'03_Evaluacion_Riesgos'!$A$13&amp;" ",""))," ",", "))</f>
        <v>R2, R3</v>
      </c>
    </row>
    <row r="101" spans="1:21" ht="42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3" t="s">
        <v>84</v>
      </c>
      <c r="S101" s="45" t="str">
        <f>IF(LEN(TRIM(IF(AND('03_Evaluacion_Riesgos'!$E$6=2,'03_Evaluacion_Riesgos'!$F$6=1),'03_Evaluacion_Riesgos'!$A$6&amp;" ","")&amp;IF(AND('03_Evaluacion_Riesgos'!$E$7=2,'03_Evaluacion_Riesgos'!$F$7=1),'03_Evaluacion_Riesgos'!$A$7&amp;" ","")&amp;IF(AND('03_Evaluacion_Riesgos'!$E$8=2,'03_Evaluacion_Riesgos'!$F$8=1),'03_Evaluacion_Riesgos'!$A$8&amp;" ","")&amp;IF(AND('03_Evaluacion_Riesgos'!$E$9=2,'03_Evaluacion_Riesgos'!$F$9=1),'03_Evaluacion_Riesgos'!$A$9&amp;" ","")&amp;IF(AND('03_Evaluacion_Riesgos'!$E$10=2,'03_Evaluacion_Riesgos'!$F$10=1),'03_Evaluacion_Riesgos'!$A$10&amp;" ","")&amp;IF(AND('03_Evaluacion_Riesgos'!$E$11=2,'03_Evaluacion_Riesgos'!$F$11=1),'03_Evaluacion_Riesgos'!$A$11&amp;" ","")&amp;IF(AND('03_Evaluacion_Riesgos'!$E$12=2,'03_Evaluacion_Riesgos'!$F$12=1),'03_Evaluacion_Riesgos'!$A$12&amp;" ","")&amp;IF(AND('03_Evaluacion_Riesgos'!$E$13=2,'03_Evaluacion_Riesgos'!$F$13=1),'03_Evaluacion_Riesgos'!$A$13&amp;" ","")))=0,"—",SUBSTITUTE(TRIM(IF(AND('03_Evaluacion_Riesgos'!$E$6=2,'03_Evaluacion_Riesgos'!$F$6=1),'03_Evaluacion_Riesgos'!$A$6&amp;" ","")&amp;IF(AND('03_Evaluacion_Riesgos'!$E$7=2,'03_Evaluacion_Riesgos'!$F$7=1),'03_Evaluacion_Riesgos'!$A$7&amp;" ","")&amp;IF(AND('03_Evaluacion_Riesgos'!$E$8=2,'03_Evaluacion_Riesgos'!$F$8=1),'03_Evaluacion_Riesgos'!$A$8&amp;" ","")&amp;IF(AND('03_Evaluacion_Riesgos'!$E$9=2,'03_Evaluacion_Riesgos'!$F$9=1),'03_Evaluacion_Riesgos'!$A$9&amp;" ","")&amp;IF(AND('03_Evaluacion_Riesgos'!$E$10=2,'03_Evaluacion_Riesgos'!$F$10=1),'03_Evaluacion_Riesgos'!$A$10&amp;" ","")&amp;IF(AND('03_Evaluacion_Riesgos'!$E$11=2,'03_Evaluacion_Riesgos'!$F$11=1),'03_Evaluacion_Riesgos'!$A$11&amp;" ","")&amp;IF(AND('03_Evaluacion_Riesgos'!$E$12=2,'03_Evaluacion_Riesgos'!$F$12=1),'03_Evaluacion_Riesgos'!$A$12&amp;" ","")&amp;IF(AND('03_Evaluacion_Riesgos'!$E$13=2,'03_Evaluacion_Riesgos'!$F$13=1),'03_Evaluacion_Riesgos'!$A$13&amp;" ",""))," ",", "))</f>
        <v>—</v>
      </c>
      <c r="T101" s="73" t="str">
        <f>IF(LEN(TRIM(IF(AND('03_Evaluacion_Riesgos'!$E$6=2,'03_Evaluacion_Riesgos'!$F$6=2),'03_Evaluacion_Riesgos'!$A$6&amp;" ","")&amp;IF(AND('03_Evaluacion_Riesgos'!$E$7=2,'03_Evaluacion_Riesgos'!$F$7=2),'03_Evaluacion_Riesgos'!$A$7&amp;" ","")&amp;IF(AND('03_Evaluacion_Riesgos'!$E$8=2,'03_Evaluacion_Riesgos'!$F$8=2),'03_Evaluacion_Riesgos'!$A$8&amp;" ","")&amp;IF(AND('03_Evaluacion_Riesgos'!$E$9=2,'03_Evaluacion_Riesgos'!$F$9=2),'03_Evaluacion_Riesgos'!$A$9&amp;" ","")&amp;IF(AND('03_Evaluacion_Riesgos'!$E$10=2,'03_Evaluacion_Riesgos'!$F$10=2),'03_Evaluacion_Riesgos'!$A$10&amp;" ","")&amp;IF(AND('03_Evaluacion_Riesgos'!$E$11=2,'03_Evaluacion_Riesgos'!$F$11=2),'03_Evaluacion_Riesgos'!$A$11&amp;" ","")&amp;IF(AND('03_Evaluacion_Riesgos'!$E$12=2,'03_Evaluacion_Riesgos'!$F$12=2),'03_Evaluacion_Riesgos'!$A$12&amp;" ","")&amp;IF(AND('03_Evaluacion_Riesgos'!$E$13=2,'03_Evaluacion_Riesgos'!$F$13=2),'03_Evaluacion_Riesgos'!$A$13&amp;" ","")))=0,"—",SUBSTITUTE(TRIM(IF(AND('03_Evaluacion_Riesgos'!$E$6=2,'03_Evaluacion_Riesgos'!$F$6=2),'03_Evaluacion_Riesgos'!$A$6&amp;" ","")&amp;IF(AND('03_Evaluacion_Riesgos'!$E$7=2,'03_Evaluacion_Riesgos'!$F$7=2),'03_Evaluacion_Riesgos'!$A$7&amp;" ","")&amp;IF(AND('03_Evaluacion_Riesgos'!$E$8=2,'03_Evaluacion_Riesgos'!$F$8=2),'03_Evaluacion_Riesgos'!$A$8&amp;" ","")&amp;IF(AND('03_Evaluacion_Riesgos'!$E$9=2,'03_Evaluacion_Riesgos'!$F$9=2),'03_Evaluacion_Riesgos'!$A$9&amp;" ","")&amp;IF(AND('03_Evaluacion_Riesgos'!$E$10=2,'03_Evaluacion_Riesgos'!$F$10=2),'03_Evaluacion_Riesgos'!$A$10&amp;" ","")&amp;IF(AND('03_Evaluacion_Riesgos'!$E$11=2,'03_Evaluacion_Riesgos'!$F$11=2),'03_Evaluacion_Riesgos'!$A$11&amp;" ","")&amp;IF(AND('03_Evaluacion_Riesgos'!$E$12=2,'03_Evaluacion_Riesgos'!$F$12=2),'03_Evaluacion_Riesgos'!$A$12&amp;" ","")&amp;IF(AND('03_Evaluacion_Riesgos'!$E$13=2,'03_Evaluacion_Riesgos'!$F$13=2),'03_Evaluacion_Riesgos'!$A$13&amp;" ",""))," ",", "))</f>
        <v>R8</v>
      </c>
      <c r="U101" s="46" t="str">
        <f>IF(LEN(TRIM(IF(AND('03_Evaluacion_Riesgos'!$E$6=2,'03_Evaluacion_Riesgos'!$F$6=3),'03_Evaluacion_Riesgos'!$A$6&amp;" ","")&amp;IF(AND('03_Evaluacion_Riesgos'!$E$7=2,'03_Evaluacion_Riesgos'!$F$7=3),'03_Evaluacion_Riesgos'!$A$7&amp;" ","")&amp;IF(AND('03_Evaluacion_Riesgos'!$E$8=2,'03_Evaluacion_Riesgos'!$F$8=3),'03_Evaluacion_Riesgos'!$A$8&amp;" ","")&amp;IF(AND('03_Evaluacion_Riesgos'!$E$9=2,'03_Evaluacion_Riesgos'!$F$9=3),'03_Evaluacion_Riesgos'!$A$9&amp;" ","")&amp;IF(AND('03_Evaluacion_Riesgos'!$E$10=2,'03_Evaluacion_Riesgos'!$F$10=3),'03_Evaluacion_Riesgos'!$A$10&amp;" ","")&amp;IF(AND('03_Evaluacion_Riesgos'!$E$11=2,'03_Evaluacion_Riesgos'!$F$11=3),'03_Evaluacion_Riesgos'!$A$11&amp;" ","")&amp;IF(AND('03_Evaluacion_Riesgos'!$E$12=2,'03_Evaluacion_Riesgos'!$F$12=3),'03_Evaluacion_Riesgos'!$A$12&amp;" ","")&amp;IF(AND('03_Evaluacion_Riesgos'!$E$13=2,'03_Evaluacion_Riesgos'!$F$13=3),'03_Evaluacion_Riesgos'!$A$13&amp;" ","")))=0,"—",SUBSTITUTE(TRIM(IF(AND('03_Evaluacion_Riesgos'!$E$6=2,'03_Evaluacion_Riesgos'!$F$6=3),'03_Evaluacion_Riesgos'!$A$6&amp;" ","")&amp;IF(AND('03_Evaluacion_Riesgos'!$E$7=2,'03_Evaluacion_Riesgos'!$F$7=3),'03_Evaluacion_Riesgos'!$A$7&amp;" ","")&amp;IF(AND('03_Evaluacion_Riesgos'!$E$8=2,'03_Evaluacion_Riesgos'!$F$8=3),'03_Evaluacion_Riesgos'!$A$8&amp;" ","")&amp;IF(AND('03_Evaluacion_Riesgos'!$E$9=2,'03_Evaluacion_Riesgos'!$F$9=3),'03_Evaluacion_Riesgos'!$A$9&amp;" ","")&amp;IF(AND('03_Evaluacion_Riesgos'!$E$10=2,'03_Evaluacion_Riesgos'!$F$10=3),'03_Evaluacion_Riesgos'!$A$10&amp;" ","")&amp;IF(AND('03_Evaluacion_Riesgos'!$E$11=2,'03_Evaluacion_Riesgos'!$F$11=3),'03_Evaluacion_Riesgos'!$A$11&amp;" ","")&amp;IF(AND('03_Evaluacion_Riesgos'!$E$12=2,'03_Evaluacion_Riesgos'!$F$12=3),'03_Evaluacion_Riesgos'!$A$12&amp;" ","")&amp;IF(AND('03_Evaluacion_Riesgos'!$E$13=2,'03_Evaluacion_Riesgos'!$F$13=3),'03_Evaluacion_Riesgos'!$A$13&amp;" ",""))," ",", "))</f>
        <v>R1, R4, R5, R7</v>
      </c>
    </row>
    <row r="102" spans="1:21" ht="42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 t="s">
        <v>472</v>
      </c>
      <c r="S102" s="45" t="str">
        <f>IF(LEN(TRIM(IF(AND('03_Evaluacion_Riesgos'!$E$6=1,'03_Evaluacion_Riesgos'!$F$6=1),'03_Evaluacion_Riesgos'!$A$6&amp;" ","")&amp;IF(AND('03_Evaluacion_Riesgos'!$E$7=1,'03_Evaluacion_Riesgos'!$F$7=1),'03_Evaluacion_Riesgos'!$A$7&amp;" ","")&amp;IF(AND('03_Evaluacion_Riesgos'!$E$8=1,'03_Evaluacion_Riesgos'!$F$8=1),'03_Evaluacion_Riesgos'!$A$8&amp;" ","")&amp;IF(AND('03_Evaluacion_Riesgos'!$E$9=1,'03_Evaluacion_Riesgos'!$F$9=1),'03_Evaluacion_Riesgos'!$A$9&amp;" ","")&amp;IF(AND('03_Evaluacion_Riesgos'!$E$10=1,'03_Evaluacion_Riesgos'!$F$10=1),'03_Evaluacion_Riesgos'!$A$10&amp;" ","")&amp;IF(AND('03_Evaluacion_Riesgos'!$E$11=1,'03_Evaluacion_Riesgos'!$F$11=1),'03_Evaluacion_Riesgos'!$A$11&amp;" ","")&amp;IF(AND('03_Evaluacion_Riesgos'!$E$12=1,'03_Evaluacion_Riesgos'!$F$12=1),'03_Evaluacion_Riesgos'!$A$12&amp;" ","")&amp;IF(AND('03_Evaluacion_Riesgos'!$E$13=1,'03_Evaluacion_Riesgos'!$F$13=1),'03_Evaluacion_Riesgos'!$A$13&amp;" ","")))=0,"—",SUBSTITUTE(TRIM(IF(AND('03_Evaluacion_Riesgos'!$E$6=1,'03_Evaluacion_Riesgos'!$F$6=1),'03_Evaluacion_Riesgos'!$A$6&amp;" ","")&amp;IF(AND('03_Evaluacion_Riesgos'!$E$7=1,'03_Evaluacion_Riesgos'!$F$7=1),'03_Evaluacion_Riesgos'!$A$7&amp;" ","")&amp;IF(AND('03_Evaluacion_Riesgos'!$E$8=1,'03_Evaluacion_Riesgos'!$F$8=1),'03_Evaluacion_Riesgos'!$A$8&amp;" ","")&amp;IF(AND('03_Evaluacion_Riesgos'!$E$9=1,'03_Evaluacion_Riesgos'!$F$9=1),'03_Evaluacion_Riesgos'!$A$9&amp;" ","")&amp;IF(AND('03_Evaluacion_Riesgos'!$E$10=1,'03_Evaluacion_Riesgos'!$F$10=1),'03_Evaluacion_Riesgos'!$A$10&amp;" ","")&amp;IF(AND('03_Evaluacion_Riesgos'!$E$11=1,'03_Evaluacion_Riesgos'!$F$11=1),'03_Evaluacion_Riesgos'!$A$11&amp;" ","")&amp;IF(AND('03_Evaluacion_Riesgos'!$E$12=1,'03_Evaluacion_Riesgos'!$F$12=1),'03_Evaluacion_Riesgos'!$A$12&amp;" ","")&amp;IF(AND('03_Evaluacion_Riesgos'!$E$13=1,'03_Evaluacion_Riesgos'!$F$13=1),'03_Evaluacion_Riesgos'!$A$13&amp;" ",""))," ",", "))</f>
        <v>—</v>
      </c>
      <c r="T102" s="45" t="str">
        <f>IF(LEN(TRIM(IF(AND('03_Evaluacion_Riesgos'!$E$6=1,'03_Evaluacion_Riesgos'!$F$6=2),'03_Evaluacion_Riesgos'!$A$6&amp;" ","")&amp;IF(AND('03_Evaluacion_Riesgos'!$E$7=1,'03_Evaluacion_Riesgos'!$F$7=2),'03_Evaluacion_Riesgos'!$A$7&amp;" ","")&amp;IF(AND('03_Evaluacion_Riesgos'!$E$8=1,'03_Evaluacion_Riesgos'!$F$8=2),'03_Evaluacion_Riesgos'!$A$8&amp;" ","")&amp;IF(AND('03_Evaluacion_Riesgos'!$E$9=1,'03_Evaluacion_Riesgos'!$F$9=2),'03_Evaluacion_Riesgos'!$A$9&amp;" ","")&amp;IF(AND('03_Evaluacion_Riesgos'!$E$10=1,'03_Evaluacion_Riesgos'!$F$10=2),'03_Evaluacion_Riesgos'!$A$10&amp;" ","")&amp;IF(AND('03_Evaluacion_Riesgos'!$E$11=1,'03_Evaluacion_Riesgos'!$F$11=2),'03_Evaluacion_Riesgos'!$A$11&amp;" ","")&amp;IF(AND('03_Evaluacion_Riesgos'!$E$12=1,'03_Evaluacion_Riesgos'!$F$12=2),'03_Evaluacion_Riesgos'!$A$12&amp;" ","")&amp;IF(AND('03_Evaluacion_Riesgos'!$E$13=1,'03_Evaluacion_Riesgos'!$F$13=2),'03_Evaluacion_Riesgos'!$A$13&amp;" ","")))=0,"—",SUBSTITUTE(TRIM(IF(AND('03_Evaluacion_Riesgos'!$E$6=1,'03_Evaluacion_Riesgos'!$F$6=2),'03_Evaluacion_Riesgos'!$A$6&amp;" ","")&amp;IF(AND('03_Evaluacion_Riesgos'!$E$7=1,'03_Evaluacion_Riesgos'!$F$7=2),'03_Evaluacion_Riesgos'!$A$7&amp;" ","")&amp;IF(AND('03_Evaluacion_Riesgos'!$E$8=1,'03_Evaluacion_Riesgos'!$F$8=2),'03_Evaluacion_Riesgos'!$A$8&amp;" ","")&amp;IF(AND('03_Evaluacion_Riesgos'!$E$9=1,'03_Evaluacion_Riesgos'!$F$9=2),'03_Evaluacion_Riesgos'!$A$9&amp;" ","")&amp;IF(AND('03_Evaluacion_Riesgos'!$E$10=1,'03_Evaluacion_Riesgos'!$F$10=2),'03_Evaluacion_Riesgos'!$A$10&amp;" ","")&amp;IF(AND('03_Evaluacion_Riesgos'!$E$11=1,'03_Evaluacion_Riesgos'!$F$11=2),'03_Evaluacion_Riesgos'!$A$11&amp;" ","")&amp;IF(AND('03_Evaluacion_Riesgos'!$E$12=1,'03_Evaluacion_Riesgos'!$F$12=2),'03_Evaluacion_Riesgos'!$A$12&amp;" ","")&amp;IF(AND('03_Evaluacion_Riesgos'!$E$13=1,'03_Evaluacion_Riesgos'!$F$13=2),'03_Evaluacion_Riesgos'!$A$13&amp;" ",""))," ",", "))</f>
        <v>—</v>
      </c>
      <c r="U102" s="73" t="str">
        <f>IF(LEN(TRIM(IF(AND('03_Evaluacion_Riesgos'!$E$6=1,'03_Evaluacion_Riesgos'!$F$6=3),'03_Evaluacion_Riesgos'!$A$6&amp;" ","")&amp;IF(AND('03_Evaluacion_Riesgos'!$E$7=1,'03_Evaluacion_Riesgos'!$F$7=3),'03_Evaluacion_Riesgos'!$A$7&amp;" ","")&amp;IF(AND('03_Evaluacion_Riesgos'!$E$8=1,'03_Evaluacion_Riesgos'!$F$8=3),'03_Evaluacion_Riesgos'!$A$8&amp;" ","")&amp;IF(AND('03_Evaluacion_Riesgos'!$E$9=1,'03_Evaluacion_Riesgos'!$F$9=3),'03_Evaluacion_Riesgos'!$A$9&amp;" ","")&amp;IF(AND('03_Evaluacion_Riesgos'!$E$10=1,'03_Evaluacion_Riesgos'!$F$10=3),'03_Evaluacion_Riesgos'!$A$10&amp;" ","")&amp;IF(AND('03_Evaluacion_Riesgos'!$E$11=1,'03_Evaluacion_Riesgos'!$F$11=3),'03_Evaluacion_Riesgos'!$A$11&amp;" ","")&amp;IF(AND('03_Evaluacion_Riesgos'!$E$12=1,'03_Evaluacion_Riesgos'!$F$12=3),'03_Evaluacion_Riesgos'!$A$12&amp;" ","")&amp;IF(AND('03_Evaluacion_Riesgos'!$E$13=1,'03_Evaluacion_Riesgos'!$F$13=3),'03_Evaluacion_Riesgos'!$A$13&amp;" ","")))=0,"—",SUBSTITUTE(TRIM(IF(AND('03_Evaluacion_Riesgos'!$E$6=1,'03_Evaluacion_Riesgos'!$F$6=3),'03_Evaluacion_Riesgos'!$A$6&amp;" ","")&amp;IF(AND('03_Evaluacion_Riesgos'!$E$7=1,'03_Evaluacion_Riesgos'!$F$7=3),'03_Evaluacion_Riesgos'!$A$7&amp;" ","")&amp;IF(AND('03_Evaluacion_Riesgos'!$E$8=1,'03_Evaluacion_Riesgos'!$F$8=3),'03_Evaluacion_Riesgos'!$A$8&amp;" ","")&amp;IF(AND('03_Evaluacion_Riesgos'!$E$9=1,'03_Evaluacion_Riesgos'!$F$9=3),'03_Evaluacion_Riesgos'!$A$9&amp;" ","")&amp;IF(AND('03_Evaluacion_Riesgos'!$E$10=1,'03_Evaluacion_Riesgos'!$F$10=3),'03_Evaluacion_Riesgos'!$A$10&amp;" ","")&amp;IF(AND('03_Evaluacion_Riesgos'!$E$11=1,'03_Evaluacion_Riesgos'!$F$11=3),'03_Evaluacion_Riesgos'!$A$11&amp;" ","")&amp;IF(AND('03_Evaluacion_Riesgos'!$E$12=1,'03_Evaluacion_Riesgos'!$F$12=3),'03_Evaluacion_Riesgos'!$A$12&amp;" ","")&amp;IF(AND('03_Evaluacion_Riesgos'!$E$13=1,'03_Evaluacion_Riesgos'!$F$13=3),'03_Evaluacion_Riesgos'!$A$13&amp;" ",""))," ",", "))</f>
        <v>—</v>
      </c>
    </row>
    <row r="103" spans="1:2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69" t="str">
        <f>"Escala: Crítico ("&amp;IF(LEN(TRIM(IF('03_Evaluacion_Riesgos'!$H$6="Crítico",'03_Evaluacion_Riesgos'!$A$6&amp;" ","")&amp;IF('03_Evaluacion_Riesgos'!$H$7="Crítico",'03_Evaluacion_Riesgos'!$A$7&amp;" ","")&amp;IF('03_Evaluacion_Riesgos'!$H$8="Crítico",'03_Evaluacion_Riesgos'!$A$8&amp;" ","")&amp;IF('03_Evaluacion_Riesgos'!$H$9="Crítico",'03_Evaluacion_Riesgos'!$A$9&amp;" ","")&amp;IF('03_Evaluacion_Riesgos'!$H$10="Crítico",'03_Evaluacion_Riesgos'!$A$10&amp;" ","")&amp;IF('03_Evaluacion_Riesgos'!$H$11="Crítico",'03_Evaluacion_Riesgos'!$A$11&amp;" ","")&amp;IF('03_Evaluacion_Riesgos'!$H$12="Crítico",'03_Evaluacion_Riesgos'!$A$12&amp;" ","")&amp;IF('03_Evaluacion_Riesgos'!$H$13="Crítico",'03_Evaluacion_Riesgos'!$A$13&amp;" ","")))=0,"—",SUBSTITUTE(TRIM(IF('03_Evaluacion_Riesgos'!$H$6="Crítico",'03_Evaluacion_Riesgos'!$A$6&amp;" ","")&amp;IF('03_Evaluacion_Riesgos'!$H$7="Crítico",'03_Evaluacion_Riesgos'!$A$7&amp;" ","")&amp;IF('03_Evaluacion_Riesgos'!$H$8="Crítico",'03_Evaluacion_Riesgos'!$A$8&amp;" ","")&amp;IF('03_Evaluacion_Riesgos'!$H$9="Crítico",'03_Evaluacion_Riesgos'!$A$9&amp;" ","")&amp;IF('03_Evaluacion_Riesgos'!$H$10="Crítico",'03_Evaluacion_Riesgos'!$A$10&amp;" ","")&amp;IF('03_Evaluacion_Riesgos'!$H$11="Crítico",'03_Evaluacion_Riesgos'!$A$11&amp;" ","")&amp;IF('03_Evaluacion_Riesgos'!$H$12="Crítico",'03_Evaluacion_Riesgos'!$A$12&amp;" ","")&amp;IF('03_Evaluacion_Riesgos'!$H$13="Crítico",'03_Evaluacion_Riesgos'!$A$13&amp;" ",""))," ",", "))&amp;") · Alto ("&amp;IF(LEN(TRIM(IF('03_Evaluacion_Riesgos'!$H$6="Alto",'03_Evaluacion_Riesgos'!$A$6&amp;" ","")&amp;IF('03_Evaluacion_Riesgos'!$H$7="Alto",'03_Evaluacion_Riesgos'!$A$7&amp;" ","")&amp;IF('03_Evaluacion_Riesgos'!$H$8="Alto",'03_Evaluacion_Riesgos'!$A$8&amp;" ","")&amp;IF('03_Evaluacion_Riesgos'!$H$9="Alto",'03_Evaluacion_Riesgos'!$A$9&amp;" ","")&amp;IF('03_Evaluacion_Riesgos'!$H$10="Alto",'03_Evaluacion_Riesgos'!$A$10&amp;" ","")&amp;IF('03_Evaluacion_Riesgos'!$H$11="Alto",'03_Evaluacion_Riesgos'!$A$11&amp;" ","")&amp;IF('03_Evaluacion_Riesgos'!$H$12="Alto",'03_Evaluacion_Riesgos'!$A$12&amp;" ","")&amp;IF('03_Evaluacion_Riesgos'!$H$13="Alto",'03_Evaluacion_Riesgos'!$A$13&amp;" ","")))=0,"—",SUBSTITUTE(TRIM(IF('03_Evaluacion_Riesgos'!$H$6="Alto",'03_Evaluacion_Riesgos'!$A$6&amp;" ","")&amp;IF('03_Evaluacion_Riesgos'!$H$7="Alto",'03_Evaluacion_Riesgos'!$A$7&amp;" ","")&amp;IF('03_Evaluacion_Riesgos'!$H$8="Alto",'03_Evaluacion_Riesgos'!$A$8&amp;" ","")&amp;IF('03_Evaluacion_Riesgos'!$H$9="Alto",'03_Evaluacion_Riesgos'!$A$9&amp;" ","")&amp;IF('03_Evaluacion_Riesgos'!$H$10="Alto",'03_Evaluacion_Riesgos'!$A$10&amp;" ","")&amp;IF('03_Evaluacion_Riesgos'!$H$11="Alto",'03_Evaluacion_Riesgos'!$A$11&amp;" ","")&amp;IF('03_Evaluacion_Riesgos'!$H$12="Alto",'03_Evaluacion_Riesgos'!$A$12&amp;" ","")&amp;IF('03_Evaluacion_Riesgos'!$H$13="Alto",'03_Evaluacion_Riesgos'!$A$13&amp;" ",""))," ",", "))&amp;") · Medio ("&amp;IF(LEN(TRIM(IF('03_Evaluacion_Riesgos'!$H$6="Medio",'03_Evaluacion_Riesgos'!$A$6&amp;" ","")&amp;IF('03_Evaluacion_Riesgos'!$H$7="Medio",'03_Evaluacion_Riesgos'!$A$7&amp;" ","")&amp;IF('03_Evaluacion_Riesgos'!$H$8="Medio",'03_Evaluacion_Riesgos'!$A$8&amp;" ","")&amp;IF('03_Evaluacion_Riesgos'!$H$9="Medio",'03_Evaluacion_Riesgos'!$A$9&amp;" ","")&amp;IF('03_Evaluacion_Riesgos'!$H$10="Medio",'03_Evaluacion_Riesgos'!$A$10&amp;" ","")&amp;IF('03_Evaluacion_Riesgos'!$H$11="Medio",'03_Evaluacion_Riesgos'!$A$11&amp;" ","")&amp;IF('03_Evaluacion_Riesgos'!$H$12="Medio",'03_Evaluacion_Riesgos'!$A$12&amp;" ","")&amp;IF('03_Evaluacion_Riesgos'!$H$13="Medio",'03_Evaluacion_Riesgos'!$A$13&amp;" ","")))=0,"—",SUBSTITUTE(TRIM(IF('03_Evaluacion_Riesgos'!$H$6="Medio",'03_Evaluacion_Riesgos'!$A$6&amp;" ","")&amp;IF('03_Evaluacion_Riesgos'!$H$7="Medio",'03_Evaluacion_Riesgos'!$A$7&amp;" ","")&amp;IF('03_Evaluacion_Riesgos'!$H$8="Medio",'03_Evaluacion_Riesgos'!$A$8&amp;" ","")&amp;IF('03_Evaluacion_Riesgos'!$H$9="Medio",'03_Evaluacion_Riesgos'!$A$9&amp;" ","")&amp;IF('03_Evaluacion_Riesgos'!$H$10="Medio",'03_Evaluacion_Riesgos'!$A$10&amp;" ","")&amp;IF('03_Evaluacion_Riesgos'!$H$11="Medio",'03_Evaluacion_Riesgos'!$A$11&amp;" ","")&amp;IF('03_Evaluacion_Riesgos'!$H$12="Medio",'03_Evaluacion_Riesgos'!$A$12&amp;" ","")&amp;IF('03_Evaluacion_Riesgos'!$H$13="Medio",'03_Evaluacion_Riesgos'!$A$13&amp;" ",""))," ",", "))&amp;")"</f>
        <v>Escala: Crítico (R2, R3) · Alto (R1, R4, R5, R6, R7) · Medio (R8)</v>
      </c>
      <c r="S104" s="12"/>
      <c r="T104" s="12"/>
      <c r="U104" s="12"/>
    </row>
    <row r="105" spans="1:2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75" t="s">
        <v>473</v>
      </c>
      <c r="S105" s="12"/>
      <c r="T105" s="12"/>
      <c r="U105" s="12"/>
    </row>
  </sheetData>
  <mergeCells count="15">
    <mergeCell ref="A53:E53"/>
    <mergeCell ref="A59:E59"/>
    <mergeCell ref="A61:E61"/>
    <mergeCell ref="A74:E74"/>
    <mergeCell ref="A4:E4"/>
    <mergeCell ref="A11:E11"/>
    <mergeCell ref="A24:E24"/>
    <mergeCell ref="A33:E33"/>
    <mergeCell ref="A46:E46"/>
    <mergeCell ref="A1:C1"/>
    <mergeCell ref="D1:E1"/>
    <mergeCell ref="A2:C2"/>
    <mergeCell ref="D2:E2"/>
    <mergeCell ref="A3:C3"/>
    <mergeCell ref="D3:E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01_Resumen_Portafolio</vt:lpstr>
      <vt:lpstr>02_Alineacion_Estrategica</vt:lpstr>
      <vt:lpstr>03_Evaluacion_Riesgos</vt:lpstr>
      <vt:lpstr>04_Scoring_Priorizacion</vt:lpstr>
      <vt:lpstr>05_Matriz_AHP</vt:lpstr>
      <vt:lpstr>06_Capacidad_y_Balance</vt:lpstr>
      <vt:lpstr>07_Cronograma_Gantt</vt:lpstr>
      <vt:lpstr>08_Estadisticas_Graficos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2026-10-24T01:39:20Z</dcterms:created>
  <dcterms:modified xsi:type="dcterms:W3CDTF">2026-10-24T01:50:27Z</dcterms:modified>
  <dc:language>en-US</dc:language>
</cp:coreProperties>
</file>