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E:\1. OBRA ICA\3. DESARROLLO DEL PROYECTOS\6. ACTUALIZACIÓN DE CRONOGRAMAS\6.3 LUEGO DE LA RESOL. DE APROB. SARDINELES SUMERGIDOS\"/>
    </mc:Choice>
  </mc:AlternateContent>
  <xr:revisionPtr revIDLastSave="0" documentId="13_ncr:1_{ADCD8AF8-2018-4348-B966-AFC85FB9B027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Sheet" sheetId="1" r:id="rId1"/>
  </sheets>
  <definedNames>
    <definedName name="_xlnm._FilterDatabase" localSheetId="0" hidden="1">Sheet!$D$1:$D$329</definedName>
    <definedName name="_xlnm.Print_Area" localSheetId="0">Sheet!$A$1:$AA$322</definedName>
    <definedName name="_xlnm.Print_Titles" localSheetId="0">Sheet!$1:$10</definedName>
  </definedNames>
  <calcPr calcId="179021"/>
</workbook>
</file>

<file path=xl/calcChain.xml><?xml version="1.0" encoding="utf-8"?>
<calcChain xmlns="http://schemas.openxmlformats.org/spreadsheetml/2006/main">
  <c r="Y250" i="1" l="1"/>
  <c r="X250" i="1"/>
  <c r="U169" i="1"/>
  <c r="V169" i="1"/>
  <c r="U90" i="1"/>
  <c r="T90" i="1"/>
  <c r="S90" i="1"/>
  <c r="U203" i="1"/>
  <c r="U202" i="1"/>
  <c r="T192" i="1"/>
  <c r="S192" i="1"/>
  <c r="R192" i="1"/>
  <c r="Q192" i="1"/>
  <c r="T194" i="1"/>
  <c r="S194" i="1"/>
  <c r="R194" i="1"/>
  <c r="Q194" i="1"/>
  <c r="T195" i="1"/>
  <c r="S195" i="1"/>
  <c r="R195" i="1"/>
  <c r="Q195" i="1"/>
  <c r="T197" i="1"/>
  <c r="S197" i="1"/>
  <c r="R197" i="1"/>
  <c r="Q197" i="1"/>
  <c r="T198" i="1"/>
  <c r="S198" i="1"/>
  <c r="R198" i="1"/>
  <c r="Q198" i="1"/>
  <c r="S199" i="1"/>
  <c r="Y258" i="1"/>
  <c r="X258" i="1"/>
  <c r="S220" i="1"/>
  <c r="R219" i="1"/>
  <c r="S219" i="1"/>
  <c r="V219" i="1"/>
  <c r="W219" i="1"/>
  <c r="X219" i="1"/>
  <c r="W214" i="1"/>
  <c r="X214" i="1"/>
  <c r="V210" i="1"/>
  <c r="V211" i="1"/>
  <c r="U211" i="1"/>
  <c r="U210" i="1"/>
  <c r="U204" i="1"/>
  <c r="U201" i="1"/>
  <c r="T199" i="1"/>
  <c r="R199" i="1"/>
  <c r="Q199" i="1"/>
  <c r="Y182" i="1"/>
  <c r="X182" i="1"/>
  <c r="W182" i="1"/>
  <c r="X131" i="1"/>
  <c r="Y131" i="1"/>
  <c r="Y134" i="1"/>
  <c r="Y133" i="1"/>
  <c r="T132" i="1"/>
  <c r="U132" i="1"/>
  <c r="V132" i="1"/>
  <c r="W132" i="1"/>
  <c r="S132" i="1"/>
  <c r="S130" i="1"/>
  <c r="S129" i="1"/>
  <c r="W125" i="1"/>
  <c r="S32" i="1"/>
  <c r="R32" i="1"/>
  <c r="Q32" i="1"/>
  <c r="S31" i="1"/>
  <c r="R31" i="1"/>
  <c r="Q31" i="1"/>
  <c r="S30" i="1"/>
  <c r="R30" i="1"/>
  <c r="Q30" i="1"/>
  <c r="S75" i="1"/>
  <c r="R75" i="1"/>
  <c r="Q75" i="1"/>
  <c r="S74" i="1"/>
  <c r="R74" i="1"/>
  <c r="Q74" i="1"/>
  <c r="S73" i="1"/>
  <c r="R73" i="1"/>
  <c r="Q73" i="1"/>
  <c r="S72" i="1"/>
  <c r="R72" i="1"/>
  <c r="Q72" i="1"/>
  <c r="S71" i="1"/>
  <c r="R71" i="1"/>
  <c r="Q71" i="1"/>
  <c r="S70" i="1"/>
  <c r="R70" i="1"/>
  <c r="Q70" i="1"/>
  <c r="S68" i="1"/>
  <c r="R68" i="1"/>
  <c r="Q68" i="1"/>
  <c r="S66" i="1"/>
  <c r="R66" i="1"/>
  <c r="Q66" i="1"/>
  <c r="S65" i="1"/>
  <c r="R65" i="1"/>
  <c r="Q65" i="1"/>
  <c r="S64" i="1"/>
  <c r="R64" i="1"/>
  <c r="Q64" i="1"/>
  <c r="S63" i="1"/>
  <c r="R63" i="1"/>
  <c r="Q63" i="1"/>
  <c r="S62" i="1"/>
  <c r="R62" i="1"/>
  <c r="Q62" i="1"/>
  <c r="S60" i="1"/>
  <c r="R60" i="1"/>
  <c r="Q60" i="1"/>
  <c r="S56" i="1"/>
  <c r="R56" i="1"/>
  <c r="Q56" i="1"/>
  <c r="S55" i="1"/>
  <c r="R55" i="1"/>
  <c r="Q55" i="1"/>
  <c r="S50" i="1"/>
  <c r="R50" i="1"/>
  <c r="Q50" i="1"/>
  <c r="S49" i="1"/>
  <c r="R49" i="1"/>
  <c r="Q49" i="1"/>
  <c r="S48" i="1"/>
  <c r="R48" i="1"/>
  <c r="Q48" i="1"/>
  <c r="S47" i="1"/>
  <c r="R47" i="1"/>
  <c r="Q47" i="1"/>
  <c r="S46" i="1"/>
  <c r="R46" i="1"/>
  <c r="Q46" i="1"/>
  <c r="S45" i="1"/>
  <c r="R45" i="1"/>
  <c r="Q45" i="1"/>
  <c r="S43" i="1"/>
  <c r="R43" i="1"/>
  <c r="Q43" i="1"/>
  <c r="S41" i="1"/>
  <c r="R41" i="1"/>
  <c r="Q41" i="1"/>
  <c r="S40" i="1"/>
  <c r="R40" i="1"/>
  <c r="Q40" i="1"/>
  <c r="S39" i="1"/>
  <c r="R39" i="1"/>
  <c r="Q39" i="1"/>
  <c r="S38" i="1"/>
  <c r="R38" i="1"/>
  <c r="Q38" i="1"/>
  <c r="S37" i="1"/>
  <c r="R37" i="1"/>
  <c r="Q37" i="1"/>
  <c r="S35" i="1"/>
  <c r="R35" i="1"/>
  <c r="Q35" i="1"/>
  <c r="Q97" i="1"/>
  <c r="T146" i="1"/>
  <c r="S146" i="1"/>
  <c r="R146" i="1"/>
  <c r="Q146" i="1"/>
  <c r="T149" i="1"/>
  <c r="S149" i="1"/>
  <c r="R149" i="1"/>
  <c r="Q149" i="1"/>
  <c r="T148" i="1"/>
  <c r="S148" i="1"/>
  <c r="R148" i="1"/>
  <c r="Q148" i="1"/>
  <c r="T144" i="1"/>
  <c r="S144" i="1"/>
  <c r="R144" i="1"/>
  <c r="Q144" i="1"/>
  <c r="T143" i="1"/>
  <c r="S143" i="1"/>
  <c r="R143" i="1"/>
  <c r="Q143" i="1"/>
  <c r="T142" i="1"/>
  <c r="S142" i="1"/>
  <c r="R142" i="1"/>
  <c r="Q142" i="1"/>
  <c r="T168" i="1"/>
  <c r="S168" i="1"/>
  <c r="R168" i="1"/>
  <c r="Q168" i="1"/>
  <c r="T167" i="1"/>
  <c r="S167" i="1"/>
  <c r="R167" i="1"/>
  <c r="Q167" i="1"/>
  <c r="T165" i="1"/>
  <c r="S165" i="1"/>
  <c r="R165" i="1"/>
  <c r="Q165" i="1"/>
  <c r="Q162" i="1"/>
  <c r="R162" i="1"/>
  <c r="S162" i="1"/>
  <c r="T162" i="1"/>
  <c r="Q163" i="1"/>
  <c r="R163" i="1"/>
  <c r="S163" i="1"/>
  <c r="T163" i="1"/>
  <c r="T161" i="1"/>
  <c r="S161" i="1"/>
  <c r="R161" i="1"/>
  <c r="Q161" i="1"/>
  <c r="X126" i="1"/>
  <c r="X124" i="1"/>
  <c r="W126" i="1"/>
  <c r="W124" i="1"/>
  <c r="V126" i="1"/>
  <c r="V125" i="1"/>
  <c r="V124" i="1"/>
  <c r="U126" i="1"/>
  <c r="U125" i="1"/>
  <c r="U124" i="1"/>
  <c r="T126" i="1"/>
  <c r="T125" i="1"/>
  <c r="T124" i="1"/>
  <c r="X122" i="1"/>
  <c r="W122" i="1"/>
  <c r="V122" i="1"/>
  <c r="U122" i="1"/>
  <c r="T122" i="1"/>
  <c r="X121" i="1"/>
  <c r="W121" i="1"/>
  <c r="V121" i="1"/>
  <c r="U121" i="1"/>
  <c r="T121" i="1"/>
  <c r="W120" i="1"/>
  <c r="V120" i="1"/>
  <c r="U120" i="1"/>
  <c r="T120" i="1"/>
  <c r="W119" i="1"/>
  <c r="V119" i="1"/>
  <c r="U119" i="1"/>
  <c r="T119" i="1"/>
  <c r="W118" i="1"/>
  <c r="V118" i="1"/>
  <c r="U118" i="1"/>
  <c r="T118" i="1"/>
  <c r="W116" i="1"/>
  <c r="V116" i="1"/>
  <c r="U116" i="1"/>
  <c r="T116" i="1"/>
  <c r="V214" i="1" l="1"/>
  <c r="U205" i="1"/>
  <c r="V205" i="1"/>
  <c r="W205" i="1"/>
  <c r="T200" i="1"/>
  <c r="U200" i="1"/>
  <c r="V200" i="1"/>
  <c r="R110" i="1" l="1"/>
  <c r="Q110" i="1"/>
  <c r="R108" i="1"/>
  <c r="Q108" i="1"/>
  <c r="R107" i="1"/>
  <c r="Q107" i="1"/>
  <c r="R106" i="1"/>
  <c r="Q106" i="1"/>
  <c r="R105" i="1"/>
  <c r="Q105" i="1"/>
  <c r="R103" i="1"/>
  <c r="Q103" i="1"/>
  <c r="R102" i="1"/>
  <c r="Q102" i="1"/>
  <c r="R101" i="1"/>
  <c r="Q101" i="1"/>
  <c r="R100" i="1"/>
  <c r="Q100" i="1"/>
  <c r="R99" i="1"/>
  <c r="Q99" i="1"/>
  <c r="R97" i="1"/>
  <c r="S89" i="1"/>
  <c r="R89" i="1"/>
  <c r="Q89" i="1"/>
  <c r="S87" i="1"/>
  <c r="R87" i="1"/>
  <c r="Q87" i="1"/>
  <c r="S86" i="1"/>
  <c r="R86" i="1"/>
  <c r="Q86" i="1"/>
  <c r="S85" i="1"/>
  <c r="R85" i="1"/>
  <c r="Q85" i="1"/>
  <c r="R84" i="1"/>
  <c r="Q84" i="1"/>
  <c r="R82" i="1"/>
  <c r="Q82" i="1"/>
  <c r="R81" i="1"/>
  <c r="Q81" i="1"/>
  <c r="R80" i="1"/>
  <c r="Q80" i="1"/>
  <c r="R78" i="1"/>
  <c r="Q78" i="1"/>
  <c r="S84" i="1"/>
  <c r="T110" i="1"/>
  <c r="S110" i="1"/>
  <c r="T108" i="1"/>
  <c r="S108" i="1"/>
  <c r="T107" i="1"/>
  <c r="S107" i="1"/>
  <c r="T106" i="1"/>
  <c r="S106" i="1"/>
  <c r="T105" i="1"/>
  <c r="S105" i="1"/>
  <c r="T103" i="1"/>
  <c r="S103" i="1"/>
  <c r="T102" i="1"/>
  <c r="S102" i="1"/>
  <c r="T101" i="1"/>
  <c r="S101" i="1"/>
  <c r="T100" i="1"/>
  <c r="S100" i="1"/>
  <c r="T99" i="1"/>
  <c r="S99" i="1"/>
  <c r="T97" i="1"/>
  <c r="S97" i="1"/>
  <c r="T135" i="1"/>
  <c r="U135" i="1"/>
  <c r="V135" i="1"/>
  <c r="W135" i="1"/>
  <c r="T136" i="1"/>
  <c r="U136" i="1"/>
  <c r="V136" i="1"/>
  <c r="W136" i="1"/>
  <c r="S136" i="1"/>
  <c r="S135" i="1"/>
  <c r="Q147" i="1"/>
  <c r="R147" i="1"/>
  <c r="S147" i="1"/>
  <c r="Q141" i="1"/>
  <c r="R141" i="1"/>
  <c r="Q166" i="1"/>
  <c r="R166" i="1"/>
  <c r="Q160" i="1"/>
  <c r="R160" i="1"/>
  <c r="S160" i="1"/>
  <c r="U160" i="1"/>
  <c r="V160" i="1"/>
  <c r="T160" i="1"/>
  <c r="Q191" i="1"/>
  <c r="R191" i="1"/>
  <c r="S191" i="1"/>
  <c r="Q193" i="1"/>
  <c r="R193" i="1"/>
  <c r="S193" i="1"/>
  <c r="T193" i="1"/>
  <c r="Q196" i="1"/>
  <c r="R196" i="1"/>
  <c r="S196" i="1"/>
  <c r="T196" i="1"/>
  <c r="Z185" i="1"/>
  <c r="Z184" i="1"/>
  <c r="U219" i="1"/>
  <c r="S141" i="1" l="1"/>
  <c r="S166" i="1"/>
  <c r="T220" i="1"/>
  <c r="T219" i="1" s="1"/>
  <c r="Y261" i="1" l="1"/>
  <c r="X261" i="1"/>
  <c r="W261" i="1"/>
  <c r="V261" i="1"/>
  <c r="U261" i="1"/>
  <c r="T261" i="1"/>
  <c r="S261" i="1"/>
  <c r="R261" i="1"/>
  <c r="Q310" i="1"/>
  <c r="Y310" i="1" s="1"/>
  <c r="Q308" i="1"/>
  <c r="Y308" i="1" s="1"/>
  <c r="Y295" i="1"/>
  <c r="X295" i="1"/>
  <c r="W295" i="1"/>
  <c r="V295" i="1"/>
  <c r="U295" i="1"/>
  <c r="T295" i="1"/>
  <c r="S295" i="1"/>
  <c r="R295" i="1"/>
  <c r="Q295" i="1"/>
  <c r="R310" i="1" l="1"/>
  <c r="U310" i="1"/>
  <c r="V310" i="1"/>
  <c r="S310" i="1"/>
  <c r="W310" i="1"/>
  <c r="T310" i="1"/>
  <c r="X310" i="1"/>
  <c r="T308" i="1"/>
  <c r="U308" i="1"/>
  <c r="V308" i="1"/>
  <c r="S308" i="1"/>
  <c r="W308" i="1"/>
  <c r="R308" i="1"/>
  <c r="X308" i="1"/>
  <c r="Q261" i="1" l="1"/>
  <c r="V193" i="1"/>
  <c r="T191" i="1"/>
  <c r="V191" i="1"/>
  <c r="P34" i="1"/>
  <c r="S34" i="1"/>
  <c r="V112" i="1"/>
  <c r="U175" i="1"/>
  <c r="U174" i="1"/>
  <c r="Q34" i="1"/>
  <c r="Q28" i="1"/>
  <c r="Q27" i="1"/>
  <c r="Q24" i="1"/>
  <c r="S23" i="1"/>
  <c r="S22" i="1"/>
  <c r="S21" i="1"/>
  <c r="T21" i="1"/>
  <c r="U21" i="1"/>
  <c r="V21" i="1"/>
  <c r="W21" i="1"/>
  <c r="X21" i="1"/>
  <c r="Y21" i="1"/>
  <c r="R21" i="1"/>
  <c r="Q21" i="1"/>
  <c r="S18" i="1"/>
  <c r="T18" i="1"/>
  <c r="U18" i="1"/>
  <c r="V18" i="1"/>
  <c r="W18" i="1"/>
  <c r="X18" i="1"/>
  <c r="Y18" i="1"/>
  <c r="R18" i="1"/>
  <c r="Q18" i="1"/>
  <c r="V196" i="1" l="1"/>
  <c r="V147" i="1"/>
  <c r="V141" i="1"/>
  <c r="V166" i="1"/>
  <c r="U191" i="1"/>
  <c r="U196" i="1"/>
  <c r="T166" i="1"/>
  <c r="U166" i="1"/>
  <c r="T147" i="1"/>
  <c r="U193" i="1" l="1"/>
  <c r="U147" i="1"/>
  <c r="U141" i="1"/>
  <c r="T141" i="1"/>
  <c r="R20" i="1" l="1"/>
  <c r="S20" i="1"/>
  <c r="U23" i="1"/>
  <c r="T23" i="1"/>
  <c r="U22" i="1"/>
  <c r="U20" i="1" s="1"/>
  <c r="T22" i="1"/>
  <c r="W281" i="1"/>
  <c r="Q281" i="1"/>
  <c r="R281" i="1"/>
  <c r="X281" i="1"/>
  <c r="Y281" i="1"/>
  <c r="V188" i="1"/>
  <c r="W188" i="1"/>
  <c r="X188" i="1"/>
  <c r="Y188" i="1"/>
  <c r="U188" i="1"/>
  <c r="T20" i="1" l="1"/>
  <c r="P312" i="1"/>
  <c r="Y256" i="1" l="1"/>
  <c r="Y254" i="1"/>
  <c r="X248" i="1"/>
  <c r="X244" i="1"/>
  <c r="X245" i="1"/>
  <c r="X240" i="1"/>
  <c r="X241" i="1"/>
  <c r="X242" i="1"/>
  <c r="X238" i="1"/>
  <c r="X237" i="1"/>
  <c r="Y183" i="1"/>
  <c r="X183" i="1"/>
  <c r="W183" i="1"/>
  <c r="AD183" i="1" s="1"/>
  <c r="Y185" i="1"/>
  <c r="AD185" i="1" s="1"/>
  <c r="Y184" i="1"/>
  <c r="AD184" i="1" s="1"/>
  <c r="V236" i="1" l="1"/>
  <c r="W236" i="1"/>
  <c r="X233" i="1"/>
  <c r="W233" i="1"/>
  <c r="T227" i="1"/>
  <c r="U227" i="1"/>
  <c r="U226" i="1"/>
  <c r="T226" i="1"/>
  <c r="U224" i="1"/>
  <c r="T224" i="1"/>
  <c r="Y214" i="1"/>
  <c r="U177" i="1"/>
  <c r="V181" i="1"/>
  <c r="AD181" i="1" s="1"/>
  <c r="V172" i="1"/>
  <c r="U170" i="1"/>
  <c r="Y177" i="1"/>
  <c r="W150" i="1"/>
  <c r="P51" i="1"/>
  <c r="W177" i="1" l="1"/>
  <c r="W113" i="1"/>
  <c r="V113" i="1"/>
  <c r="P155" i="1"/>
  <c r="U153" i="1"/>
  <c r="W154" i="1"/>
  <c r="U151" i="1"/>
  <c r="P273" i="1"/>
  <c r="P271" i="1"/>
  <c r="U225" i="1"/>
  <c r="Z226" i="1"/>
  <c r="U158" i="1"/>
  <c r="X134" i="1"/>
  <c r="Q109" i="1"/>
  <c r="R109" i="1"/>
  <c r="S109" i="1"/>
  <c r="T109" i="1"/>
  <c r="P109" i="1"/>
  <c r="P111" i="1"/>
  <c r="S96" i="1"/>
  <c r="T67" i="1"/>
  <c r="T59" i="1"/>
  <c r="Q12" i="1"/>
  <c r="R12" i="1"/>
  <c r="S12" i="1"/>
  <c r="S11" i="1" s="1"/>
  <c r="T12" i="1"/>
  <c r="U12" i="1"/>
  <c r="V12" i="1"/>
  <c r="W12" i="1"/>
  <c r="X12" i="1"/>
  <c r="Y13" i="1"/>
  <c r="Y12" i="1" s="1"/>
  <c r="F18" i="1"/>
  <c r="F12" i="1" s="1"/>
  <c r="V20" i="1"/>
  <c r="W20" i="1"/>
  <c r="X20" i="1"/>
  <c r="Y20" i="1"/>
  <c r="F21" i="1"/>
  <c r="F20" i="1" s="1"/>
  <c r="U34" i="1"/>
  <c r="V34" i="1"/>
  <c r="W34" i="1"/>
  <c r="X34" i="1"/>
  <c r="Y34" i="1"/>
  <c r="F35" i="1"/>
  <c r="U36" i="1"/>
  <c r="V36" i="1"/>
  <c r="W36" i="1"/>
  <c r="X36" i="1"/>
  <c r="Y36" i="1"/>
  <c r="F37" i="1"/>
  <c r="F38" i="1"/>
  <c r="F39" i="1"/>
  <c r="F40" i="1"/>
  <c r="F41" i="1"/>
  <c r="U42" i="1"/>
  <c r="V42" i="1"/>
  <c r="W42" i="1"/>
  <c r="X42" i="1"/>
  <c r="Y42" i="1"/>
  <c r="F43" i="1"/>
  <c r="U44" i="1"/>
  <c r="V44" i="1"/>
  <c r="W44" i="1"/>
  <c r="X44" i="1"/>
  <c r="Y44" i="1"/>
  <c r="F45" i="1"/>
  <c r="F46" i="1"/>
  <c r="F47" i="1"/>
  <c r="F48" i="1"/>
  <c r="F49" i="1"/>
  <c r="F50" i="1"/>
  <c r="Q51" i="1"/>
  <c r="R51" i="1"/>
  <c r="S51" i="1"/>
  <c r="W51" i="1"/>
  <c r="X51" i="1"/>
  <c r="Y51" i="1"/>
  <c r="F52" i="1"/>
  <c r="F53" i="1"/>
  <c r="V54" i="1"/>
  <c r="W54" i="1"/>
  <c r="X54" i="1"/>
  <c r="Y54" i="1"/>
  <c r="F55" i="1"/>
  <c r="F56" i="1"/>
  <c r="F57" i="1"/>
  <c r="T57" i="1" s="1"/>
  <c r="F59" i="1"/>
  <c r="U59" i="1"/>
  <c r="V59" i="1"/>
  <c r="W59" i="1"/>
  <c r="X59" i="1"/>
  <c r="Y59" i="1"/>
  <c r="U61" i="1"/>
  <c r="X61" i="1"/>
  <c r="Y61" i="1"/>
  <c r="W61" i="1"/>
  <c r="F63" i="1"/>
  <c r="F65" i="1"/>
  <c r="V61" i="1"/>
  <c r="F66" i="1"/>
  <c r="F67" i="1"/>
  <c r="U67" i="1"/>
  <c r="V67" i="1"/>
  <c r="W67" i="1"/>
  <c r="X67" i="1"/>
  <c r="Y67" i="1"/>
  <c r="U69" i="1"/>
  <c r="V69" i="1"/>
  <c r="X69" i="1"/>
  <c r="Y69" i="1"/>
  <c r="W69" i="1"/>
  <c r="F72" i="1"/>
  <c r="S77" i="1"/>
  <c r="T77" i="1"/>
  <c r="U77" i="1"/>
  <c r="V77" i="1"/>
  <c r="W77" i="1"/>
  <c r="X77" i="1"/>
  <c r="Y77" i="1"/>
  <c r="F78" i="1"/>
  <c r="S79" i="1"/>
  <c r="T79" i="1"/>
  <c r="U79" i="1"/>
  <c r="V79" i="1"/>
  <c r="W79" i="1"/>
  <c r="X79" i="1"/>
  <c r="Y79" i="1"/>
  <c r="F80" i="1"/>
  <c r="F81" i="1"/>
  <c r="F82" i="1"/>
  <c r="V83" i="1"/>
  <c r="W83" i="1"/>
  <c r="X83" i="1"/>
  <c r="Y83" i="1"/>
  <c r="F84" i="1"/>
  <c r="U83" i="1"/>
  <c r="F85" i="1"/>
  <c r="F86" i="1"/>
  <c r="F87" i="1"/>
  <c r="V88" i="1"/>
  <c r="Y88" i="1"/>
  <c r="F89" i="1"/>
  <c r="F88" i="1" s="1"/>
  <c r="F90" i="1"/>
  <c r="F91" i="1"/>
  <c r="P92" i="1"/>
  <c r="Q92" i="1"/>
  <c r="R92" i="1"/>
  <c r="S92" i="1"/>
  <c r="T92" i="1"/>
  <c r="U92" i="1"/>
  <c r="W92" i="1"/>
  <c r="X92" i="1"/>
  <c r="Y92" i="1"/>
  <c r="F93" i="1"/>
  <c r="V93" i="1" s="1"/>
  <c r="F94" i="1"/>
  <c r="P96" i="1"/>
  <c r="Q96" i="1"/>
  <c r="R96" i="1"/>
  <c r="U96" i="1"/>
  <c r="V96" i="1"/>
  <c r="W96" i="1"/>
  <c r="X96" i="1"/>
  <c r="Y96" i="1"/>
  <c r="T96" i="1"/>
  <c r="W98" i="1"/>
  <c r="X98" i="1"/>
  <c r="Y98" i="1"/>
  <c r="V98" i="1"/>
  <c r="Q98" i="1"/>
  <c r="X104" i="1"/>
  <c r="Y104" i="1"/>
  <c r="V104" i="1"/>
  <c r="W104" i="1"/>
  <c r="U104" i="1"/>
  <c r="U109" i="1"/>
  <c r="V109" i="1"/>
  <c r="W109" i="1"/>
  <c r="Y109" i="1"/>
  <c r="X109" i="1"/>
  <c r="Q111" i="1"/>
  <c r="R111" i="1"/>
  <c r="S111" i="1"/>
  <c r="T111" i="1"/>
  <c r="U111" i="1"/>
  <c r="W111" i="1"/>
  <c r="X111" i="1"/>
  <c r="Y111" i="1"/>
  <c r="P115" i="1"/>
  <c r="Q115" i="1"/>
  <c r="X115" i="1"/>
  <c r="Y115" i="1"/>
  <c r="F116" i="1"/>
  <c r="S115" i="1" s="1"/>
  <c r="P117" i="1"/>
  <c r="Q117" i="1"/>
  <c r="F118" i="1"/>
  <c r="F119" i="1"/>
  <c r="F120" i="1"/>
  <c r="F121" i="1"/>
  <c r="F122" i="1"/>
  <c r="Y117" i="1"/>
  <c r="P123" i="1"/>
  <c r="Q123" i="1"/>
  <c r="R123" i="1"/>
  <c r="F124" i="1"/>
  <c r="F125" i="1"/>
  <c r="F126" i="1"/>
  <c r="F129" i="1"/>
  <c r="F130" i="1"/>
  <c r="F131" i="1"/>
  <c r="F132" i="1"/>
  <c r="F133" i="1"/>
  <c r="F135" i="1"/>
  <c r="F136" i="1"/>
  <c r="F139" i="1"/>
  <c r="P139" i="1"/>
  <c r="T139" i="1"/>
  <c r="W139" i="1"/>
  <c r="X139" i="1"/>
  <c r="Y139" i="1"/>
  <c r="Q139" i="1"/>
  <c r="R139" i="1"/>
  <c r="S139" i="1"/>
  <c r="U139" i="1"/>
  <c r="V139" i="1"/>
  <c r="W141" i="1"/>
  <c r="X141" i="1"/>
  <c r="Y141" i="1"/>
  <c r="F142" i="1"/>
  <c r="F146" i="1"/>
  <c r="X147" i="1"/>
  <c r="Y147" i="1"/>
  <c r="F148" i="1"/>
  <c r="P150" i="1"/>
  <c r="Q150" i="1"/>
  <c r="R150" i="1"/>
  <c r="S150" i="1"/>
  <c r="T150" i="1"/>
  <c r="V150" i="1"/>
  <c r="X150" i="1"/>
  <c r="Y150" i="1"/>
  <c r="F152" i="1"/>
  <c r="F150" i="1" s="1"/>
  <c r="Z153" i="1"/>
  <c r="Q154" i="1"/>
  <c r="R154" i="1"/>
  <c r="S154" i="1"/>
  <c r="T154" i="1"/>
  <c r="U154" i="1"/>
  <c r="X154" i="1"/>
  <c r="Y154" i="1"/>
  <c r="F156" i="1"/>
  <c r="F154" i="1" s="1"/>
  <c r="F158" i="1"/>
  <c r="V158" i="1"/>
  <c r="W158" i="1"/>
  <c r="X158" i="1"/>
  <c r="Y158" i="1"/>
  <c r="P158" i="1"/>
  <c r="W160" i="1"/>
  <c r="X160" i="1"/>
  <c r="Y160" i="1"/>
  <c r="F161" i="1"/>
  <c r="F165" i="1"/>
  <c r="X166" i="1"/>
  <c r="Y166" i="1"/>
  <c r="F167" i="1"/>
  <c r="P169" i="1"/>
  <c r="Q169" i="1"/>
  <c r="R169" i="1"/>
  <c r="S169" i="1"/>
  <c r="T169" i="1"/>
  <c r="Y169" i="1"/>
  <c r="Z170" i="1"/>
  <c r="F171" i="1"/>
  <c r="U171" i="1" s="1"/>
  <c r="Z172" i="1"/>
  <c r="P173" i="1"/>
  <c r="Q173" i="1"/>
  <c r="R173" i="1"/>
  <c r="S173" i="1"/>
  <c r="T173" i="1"/>
  <c r="W173" i="1"/>
  <c r="X173" i="1"/>
  <c r="Y173" i="1"/>
  <c r="F175" i="1"/>
  <c r="F177" i="1"/>
  <c r="F176" i="1" s="1"/>
  <c r="P177" i="1"/>
  <c r="Q177" i="1"/>
  <c r="Q176" i="1" s="1"/>
  <c r="R177" i="1"/>
  <c r="R176" i="1" s="1"/>
  <c r="S177" i="1"/>
  <c r="S176" i="1" s="1"/>
  <c r="T177" i="1"/>
  <c r="T176" i="1" s="1"/>
  <c r="U176" i="1"/>
  <c r="W176" i="1"/>
  <c r="V178" i="1"/>
  <c r="V179" i="1"/>
  <c r="V180" i="1"/>
  <c r="X177" i="1"/>
  <c r="F189" i="1"/>
  <c r="W191" i="1"/>
  <c r="X191" i="1"/>
  <c r="Y191" i="1"/>
  <c r="F192" i="1"/>
  <c r="W193" i="1"/>
  <c r="X193" i="1"/>
  <c r="Y193" i="1"/>
  <c r="F194" i="1"/>
  <c r="F195" i="1"/>
  <c r="W196" i="1"/>
  <c r="X196" i="1"/>
  <c r="Y196" i="1"/>
  <c r="F197" i="1"/>
  <c r="F198" i="1"/>
  <c r="F199" i="1"/>
  <c r="P200" i="1"/>
  <c r="Q200" i="1"/>
  <c r="R200" i="1"/>
  <c r="X200" i="1"/>
  <c r="Y200" i="1"/>
  <c r="F201" i="1"/>
  <c r="F202" i="1"/>
  <c r="F203" i="1"/>
  <c r="F204" i="1"/>
  <c r="Z204" i="1" s="1"/>
  <c r="P205" i="1"/>
  <c r="Q205" i="1"/>
  <c r="R205" i="1"/>
  <c r="Y205" i="1"/>
  <c r="F206" i="1"/>
  <c r="W206" i="1" s="1"/>
  <c r="F207" i="1"/>
  <c r="W207" i="1" s="1"/>
  <c r="F208" i="1"/>
  <c r="W208" i="1" s="1"/>
  <c r="F209" i="1"/>
  <c r="W209" i="1" s="1"/>
  <c r="F210" i="1"/>
  <c r="F211" i="1"/>
  <c r="F212" i="1"/>
  <c r="F213" i="1"/>
  <c r="P214" i="1"/>
  <c r="Q214" i="1"/>
  <c r="R214" i="1"/>
  <c r="S214" i="1"/>
  <c r="T214" i="1"/>
  <c r="U214" i="1"/>
  <c r="F215" i="1"/>
  <c r="X215" i="1" s="1"/>
  <c r="F216" i="1"/>
  <c r="X216" i="1" s="1"/>
  <c r="F217" i="1"/>
  <c r="X217" i="1" s="1"/>
  <c r="F218" i="1"/>
  <c r="X218" i="1" s="1"/>
  <c r="Y219" i="1"/>
  <c r="F220" i="1"/>
  <c r="F221" i="1"/>
  <c r="X221" i="1" s="1"/>
  <c r="F223" i="1"/>
  <c r="P223" i="1"/>
  <c r="Q223" i="1"/>
  <c r="R223" i="1"/>
  <c r="S223" i="1"/>
  <c r="W223" i="1"/>
  <c r="X223" i="1"/>
  <c r="Y223" i="1"/>
  <c r="U223" i="1"/>
  <c r="V223" i="1"/>
  <c r="F225" i="1"/>
  <c r="P225" i="1"/>
  <c r="Q225" i="1"/>
  <c r="R225" i="1"/>
  <c r="S225" i="1"/>
  <c r="T225" i="1"/>
  <c r="W225" i="1"/>
  <c r="X225" i="1"/>
  <c r="Y225" i="1"/>
  <c r="F228" i="1"/>
  <c r="P228" i="1"/>
  <c r="Q228" i="1"/>
  <c r="R228" i="1"/>
  <c r="S228" i="1"/>
  <c r="Y228" i="1"/>
  <c r="T229" i="1"/>
  <c r="U229" i="1"/>
  <c r="V229" i="1"/>
  <c r="T230" i="1"/>
  <c r="U230" i="1"/>
  <c r="V230" i="1"/>
  <c r="T231" i="1"/>
  <c r="U231" i="1"/>
  <c r="V231" i="1"/>
  <c r="T232" i="1"/>
  <c r="U232" i="1"/>
  <c r="V232" i="1"/>
  <c r="W228" i="1"/>
  <c r="X228" i="1"/>
  <c r="F236" i="1"/>
  <c r="P236" i="1"/>
  <c r="Q236" i="1"/>
  <c r="R236" i="1"/>
  <c r="S236" i="1"/>
  <c r="T236" i="1"/>
  <c r="U236" i="1"/>
  <c r="X236" i="1"/>
  <c r="Y236" i="1"/>
  <c r="Z238" i="1"/>
  <c r="F239" i="1"/>
  <c r="P239" i="1"/>
  <c r="Q239" i="1"/>
  <c r="R239" i="1"/>
  <c r="S239" i="1"/>
  <c r="T239" i="1"/>
  <c r="U239" i="1"/>
  <c r="X239" i="1"/>
  <c r="Y239" i="1"/>
  <c r="Z240" i="1"/>
  <c r="V239" i="1"/>
  <c r="Z242" i="1"/>
  <c r="F243" i="1"/>
  <c r="P243" i="1"/>
  <c r="Q243" i="1"/>
  <c r="R243" i="1"/>
  <c r="S243" i="1"/>
  <c r="T243" i="1"/>
  <c r="U243" i="1"/>
  <c r="V243" i="1"/>
  <c r="X243" i="1"/>
  <c r="Y243" i="1"/>
  <c r="Z244" i="1"/>
  <c r="F247" i="1"/>
  <c r="F246" i="1" s="1"/>
  <c r="P247" i="1"/>
  <c r="P246" i="1" s="1"/>
  <c r="Q247" i="1"/>
  <c r="Q246" i="1" s="1"/>
  <c r="R247" i="1"/>
  <c r="R246" i="1" s="1"/>
  <c r="S247" i="1"/>
  <c r="S246" i="1" s="1"/>
  <c r="T247" i="1"/>
  <c r="T246" i="1" s="1"/>
  <c r="U247" i="1"/>
  <c r="U246" i="1" s="1"/>
  <c r="X247" i="1"/>
  <c r="X246" i="1" s="1"/>
  <c r="Y247" i="1"/>
  <c r="Y246" i="1" s="1"/>
  <c r="W248" i="1"/>
  <c r="W247" i="1" s="1"/>
  <c r="W246" i="1" s="1"/>
  <c r="F249" i="1"/>
  <c r="P249" i="1"/>
  <c r="Q249" i="1"/>
  <c r="R249" i="1"/>
  <c r="S249" i="1"/>
  <c r="T249" i="1"/>
  <c r="U249" i="1"/>
  <c r="F251" i="1"/>
  <c r="P251" i="1"/>
  <c r="Q251" i="1"/>
  <c r="R251" i="1"/>
  <c r="S251" i="1"/>
  <c r="T251" i="1"/>
  <c r="U251" i="1"/>
  <c r="V251" i="1"/>
  <c r="F253" i="1"/>
  <c r="P253" i="1"/>
  <c r="Q253" i="1"/>
  <c r="R253" i="1"/>
  <c r="S253" i="1"/>
  <c r="T253" i="1"/>
  <c r="U253" i="1"/>
  <c r="V253" i="1"/>
  <c r="W253" i="1"/>
  <c r="Y253" i="1"/>
  <c r="X253" i="1"/>
  <c r="F255" i="1"/>
  <c r="P255" i="1"/>
  <c r="Q255" i="1"/>
  <c r="R255" i="1"/>
  <c r="S255" i="1"/>
  <c r="T255" i="1"/>
  <c r="U255" i="1"/>
  <c r="V255" i="1"/>
  <c r="W255" i="1"/>
  <c r="Y255" i="1"/>
  <c r="X255" i="1"/>
  <c r="P257" i="1"/>
  <c r="Q257" i="1"/>
  <c r="R257" i="1"/>
  <c r="S257" i="1"/>
  <c r="T257" i="1"/>
  <c r="U257" i="1"/>
  <c r="F258" i="1"/>
  <c r="F259" i="1"/>
  <c r="P259" i="1"/>
  <c r="P263" i="1"/>
  <c r="Q263" i="1"/>
  <c r="R263" i="1"/>
  <c r="S263" i="1"/>
  <c r="T263" i="1"/>
  <c r="U263" i="1"/>
  <c r="V263" i="1"/>
  <c r="W263" i="1"/>
  <c r="X263" i="1"/>
  <c r="F266" i="1"/>
  <c r="Y266" i="1" s="1"/>
  <c r="Y263" i="1" s="1"/>
  <c r="F267" i="1"/>
  <c r="P267" i="1"/>
  <c r="Q267" i="1"/>
  <c r="R267" i="1"/>
  <c r="S267" i="1"/>
  <c r="T267" i="1"/>
  <c r="U267" i="1"/>
  <c r="V267" i="1"/>
  <c r="W267" i="1"/>
  <c r="X267" i="1"/>
  <c r="Y267" i="1"/>
  <c r="F269" i="1"/>
  <c r="U269" i="1"/>
  <c r="X269" i="1"/>
  <c r="P269" i="1"/>
  <c r="Q269" i="1"/>
  <c r="R269" i="1"/>
  <c r="S269" i="1"/>
  <c r="T269" i="1"/>
  <c r="V269" i="1"/>
  <c r="W269" i="1"/>
  <c r="Y269" i="1"/>
  <c r="F271" i="1"/>
  <c r="S271" i="1"/>
  <c r="Q271" i="1"/>
  <c r="R271" i="1"/>
  <c r="T271" i="1"/>
  <c r="U271" i="1"/>
  <c r="V271" i="1"/>
  <c r="W271" i="1"/>
  <c r="X271" i="1"/>
  <c r="Y271" i="1"/>
  <c r="F273" i="1"/>
  <c r="R273" i="1"/>
  <c r="S273" i="1"/>
  <c r="T273" i="1"/>
  <c r="V273" i="1"/>
  <c r="W273" i="1"/>
  <c r="X273" i="1"/>
  <c r="Y273" i="1"/>
  <c r="U273" i="1"/>
  <c r="Z275" i="1"/>
  <c r="F276" i="1"/>
  <c r="P276" i="1"/>
  <c r="Q276" i="1"/>
  <c r="R276" i="1"/>
  <c r="S276" i="1"/>
  <c r="T276" i="1"/>
  <c r="U276" i="1"/>
  <c r="V276" i="1"/>
  <c r="W276" i="1"/>
  <c r="X276" i="1"/>
  <c r="Y276" i="1"/>
  <c r="P278" i="1"/>
  <c r="Q278" i="1"/>
  <c r="R278" i="1"/>
  <c r="S278" i="1"/>
  <c r="T278" i="1"/>
  <c r="U278" i="1"/>
  <c r="F279" i="1"/>
  <c r="V279" i="1" s="1"/>
  <c r="V278" i="1" s="1"/>
  <c r="P281" i="1"/>
  <c r="F282" i="1"/>
  <c r="F283" i="1"/>
  <c r="F284" i="1"/>
  <c r="F285" i="1"/>
  <c r="F286" i="1"/>
  <c r="F287" i="1"/>
  <c r="F288" i="1"/>
  <c r="F289" i="1"/>
  <c r="T289" i="1" s="1"/>
  <c r="V289" i="1" s="1"/>
  <c r="F290" i="1"/>
  <c r="F291" i="1"/>
  <c r="F292" i="1"/>
  <c r="T292" i="1" s="1"/>
  <c r="Z292" i="1" s="1"/>
  <c r="F293" i="1"/>
  <c r="F295" i="1"/>
  <c r="V294" i="1" s="1"/>
  <c r="R294" i="1"/>
  <c r="F296" i="1"/>
  <c r="S296" i="1" s="1"/>
  <c r="Z296" i="1" s="1"/>
  <c r="P297" i="1"/>
  <c r="Q297" i="1"/>
  <c r="R297" i="1"/>
  <c r="S297" i="1"/>
  <c r="T297" i="1"/>
  <c r="U297" i="1"/>
  <c r="V297" i="1"/>
  <c r="W297" i="1"/>
  <c r="X297" i="1"/>
  <c r="Y297" i="1"/>
  <c r="F298" i="1"/>
  <c r="F299" i="1"/>
  <c r="F300" i="1"/>
  <c r="F301" i="1"/>
  <c r="F302" i="1"/>
  <c r="F303" i="1"/>
  <c r="F304" i="1"/>
  <c r="F305" i="1"/>
  <c r="F306" i="1"/>
  <c r="F308" i="1"/>
  <c r="F307" i="1" s="1"/>
  <c r="F310" i="1"/>
  <c r="F311" i="1"/>
  <c r="P311" i="1"/>
  <c r="Q311" i="1"/>
  <c r="R311" i="1"/>
  <c r="S311" i="1"/>
  <c r="T311" i="1"/>
  <c r="U311" i="1"/>
  <c r="V311" i="1"/>
  <c r="W311" i="1"/>
  <c r="X311" i="1"/>
  <c r="Y311" i="1"/>
  <c r="G313" i="1"/>
  <c r="G315" i="1" s="1"/>
  <c r="H313" i="1"/>
  <c r="H314" i="1" s="1"/>
  <c r="I313" i="1"/>
  <c r="I314" i="1" s="1"/>
  <c r="J313" i="1"/>
  <c r="J314" i="1" s="1"/>
  <c r="K313" i="1"/>
  <c r="K314" i="1" s="1"/>
  <c r="L313" i="1"/>
  <c r="L315" i="1" s="1"/>
  <c r="M313" i="1"/>
  <c r="N313" i="1"/>
  <c r="N314" i="1" s="1"/>
  <c r="O313" i="1"/>
  <c r="O315" i="1" s="1"/>
  <c r="G314" i="1"/>
  <c r="O314" i="1"/>
  <c r="I315" i="1"/>
  <c r="Z25" i="1"/>
  <c r="Z312" i="1"/>
  <c r="Z306" i="1"/>
  <c r="Z305" i="1"/>
  <c r="Z304" i="1"/>
  <c r="Z303" i="1"/>
  <c r="Z302" i="1"/>
  <c r="Z301" i="1"/>
  <c r="Z300" i="1"/>
  <c r="Z299" i="1"/>
  <c r="Z298" i="1"/>
  <c r="Z291" i="1"/>
  <c r="Z277" i="1"/>
  <c r="Z265" i="1"/>
  <c r="Z260" i="1"/>
  <c r="Z245" i="1"/>
  <c r="Z237" i="1"/>
  <c r="Z183" i="1"/>
  <c r="Z178" i="1"/>
  <c r="Z174" i="1"/>
  <c r="Z155" i="1"/>
  <c r="Z151" i="1"/>
  <c r="Z140" i="1"/>
  <c r="Z134" i="1"/>
  <c r="Z29" i="1"/>
  <c r="Z26" i="1"/>
  <c r="Z19" i="1"/>
  <c r="Z17" i="1"/>
  <c r="Z16" i="1"/>
  <c r="Z15" i="1"/>
  <c r="Z14" i="1"/>
  <c r="W251" i="1" l="1"/>
  <c r="Y252" i="1"/>
  <c r="Y251" i="1" s="1"/>
  <c r="T288" i="1"/>
  <c r="V257" i="1"/>
  <c r="Y257" i="1"/>
  <c r="Z248" i="1"/>
  <c r="F191" i="1"/>
  <c r="W91" i="1"/>
  <c r="W88" i="1" s="1"/>
  <c r="W76" i="1" s="1"/>
  <c r="X91" i="1"/>
  <c r="J315" i="1"/>
  <c r="S287" i="1"/>
  <c r="T287" i="1" s="1"/>
  <c r="F77" i="1"/>
  <c r="R77" i="1"/>
  <c r="Z22" i="1"/>
  <c r="S286" i="1"/>
  <c r="T286" i="1" s="1"/>
  <c r="F193" i="1"/>
  <c r="F69" i="1"/>
  <c r="U289" i="1"/>
  <c r="Z290" i="1"/>
  <c r="T290" i="1"/>
  <c r="U290" i="1" s="1"/>
  <c r="T293" i="1"/>
  <c r="U293" i="1" s="1"/>
  <c r="Z285" i="1"/>
  <c r="S285" i="1"/>
  <c r="T285" i="1" s="1"/>
  <c r="Z213" i="1"/>
  <c r="W213" i="1"/>
  <c r="Z180" i="1"/>
  <c r="AD180" i="1"/>
  <c r="U53" i="1"/>
  <c r="T53" i="1"/>
  <c r="U150" i="1"/>
  <c r="Z150" i="1" s="1"/>
  <c r="T52" i="1"/>
  <c r="T51" i="1" s="1"/>
  <c r="S284" i="1"/>
  <c r="T284" i="1" s="1"/>
  <c r="W212" i="1"/>
  <c r="Z179" i="1"/>
  <c r="AD179" i="1"/>
  <c r="S283" i="1"/>
  <c r="T283" i="1" s="1"/>
  <c r="Z211" i="1"/>
  <c r="Y189" i="1"/>
  <c r="Y187" i="1" s="1"/>
  <c r="X189" i="1"/>
  <c r="X187" i="1" s="1"/>
  <c r="U189" i="1"/>
  <c r="U187" i="1" s="1"/>
  <c r="V189" i="1"/>
  <c r="W189" i="1"/>
  <c r="AD178" i="1"/>
  <c r="V177" i="1"/>
  <c r="V176" i="1" s="1"/>
  <c r="P176" i="1"/>
  <c r="AD177" i="1"/>
  <c r="F147" i="1"/>
  <c r="P147" i="1"/>
  <c r="Y95" i="1"/>
  <c r="Z94" i="1"/>
  <c r="V94" i="1"/>
  <c r="V249" i="1"/>
  <c r="Y249" i="1"/>
  <c r="S205" i="1"/>
  <c r="S282" i="1"/>
  <c r="F173" i="1"/>
  <c r="U173" i="1"/>
  <c r="R98" i="1"/>
  <c r="AD182" i="1"/>
  <c r="Z216" i="1"/>
  <c r="X169" i="1"/>
  <c r="X157" i="1" s="1"/>
  <c r="P44" i="1"/>
  <c r="F42" i="1"/>
  <c r="P42" i="1"/>
  <c r="Z227" i="1"/>
  <c r="O316" i="1"/>
  <c r="I316" i="1"/>
  <c r="I317" i="1" s="1"/>
  <c r="I318" i="1" s="1"/>
  <c r="V111" i="1"/>
  <c r="V95" i="1" s="1"/>
  <c r="Q222" i="1"/>
  <c r="Z230" i="1"/>
  <c r="Z241" i="1"/>
  <c r="V123" i="1"/>
  <c r="T130" i="1"/>
  <c r="T129" i="1"/>
  <c r="Y76" i="1"/>
  <c r="X11" i="1"/>
  <c r="W11" i="1"/>
  <c r="Z163" i="1"/>
  <c r="Q259" i="1"/>
  <c r="Z217" i="1"/>
  <c r="R115" i="1"/>
  <c r="Q187" i="1"/>
  <c r="S200" i="1"/>
  <c r="V247" i="1"/>
  <c r="V246" i="1" s="1"/>
  <c r="Z13" i="1"/>
  <c r="N315" i="1"/>
  <c r="N316" i="1" s="1"/>
  <c r="G316" i="1"/>
  <c r="G317" i="1" s="1"/>
  <c r="G318" i="1" s="1"/>
  <c r="F92" i="1"/>
  <c r="U11" i="1"/>
  <c r="V117" i="1"/>
  <c r="P156" i="1"/>
  <c r="P154" i="1" s="1"/>
  <c r="Z233" i="1"/>
  <c r="Z254" i="1"/>
  <c r="V115" i="1"/>
  <c r="X138" i="1"/>
  <c r="P20" i="1"/>
  <c r="U307" i="1"/>
  <c r="U152" i="1"/>
  <c r="Z231" i="1"/>
  <c r="P191" i="1"/>
  <c r="Z182" i="1"/>
  <c r="R259" i="1"/>
  <c r="S259" i="1"/>
  <c r="Z311" i="1"/>
  <c r="Z289" i="1"/>
  <c r="P219" i="1"/>
  <c r="Q219" i="1"/>
  <c r="Q158" i="1"/>
  <c r="R158" i="1"/>
  <c r="S158" i="1"/>
  <c r="T158" i="1"/>
  <c r="P141" i="1"/>
  <c r="O317" i="1"/>
  <c r="O318" i="1" s="1"/>
  <c r="U54" i="1"/>
  <c r="Z57" i="1"/>
  <c r="Z224" i="1"/>
  <c r="V58" i="1"/>
  <c r="W33" i="1"/>
  <c r="L314" i="1"/>
  <c r="L316" i="1" s="1"/>
  <c r="X251" i="1"/>
  <c r="W243" i="1"/>
  <c r="Z243" i="1" s="1"/>
  <c r="R235" i="1"/>
  <c r="R234" i="1" s="1"/>
  <c r="Z232" i="1"/>
  <c r="X88" i="1"/>
  <c r="X76" i="1" s="1"/>
  <c r="J316" i="1"/>
  <c r="Y294" i="1"/>
  <c r="F294" i="1"/>
  <c r="X222" i="1"/>
  <c r="Z145" i="1"/>
  <c r="P128" i="1"/>
  <c r="P127" i="1" s="1"/>
  <c r="F11" i="1"/>
  <c r="F309" i="1"/>
  <c r="X294" i="1"/>
  <c r="T235" i="1"/>
  <c r="T234" i="1" s="1"/>
  <c r="Y235" i="1"/>
  <c r="P235" i="1"/>
  <c r="T228" i="1"/>
  <c r="Z164" i="1"/>
  <c r="R11" i="1"/>
  <c r="W294" i="1"/>
  <c r="P222" i="1"/>
  <c r="Z206" i="1"/>
  <c r="Z188" i="1"/>
  <c r="Y138" i="1"/>
  <c r="U294" i="1"/>
  <c r="P160" i="1"/>
  <c r="Y58" i="1"/>
  <c r="F54" i="1"/>
  <c r="T294" i="1"/>
  <c r="Z181" i="1"/>
  <c r="Z156" i="1"/>
  <c r="F79" i="1"/>
  <c r="Y33" i="1"/>
  <c r="V11" i="1"/>
  <c r="Z78" i="1"/>
  <c r="J317" i="1"/>
  <c r="J318" i="1" s="1"/>
  <c r="L317" i="1"/>
  <c r="L318" i="1" s="1"/>
  <c r="Z139" i="1"/>
  <c r="U51" i="1"/>
  <c r="Z246" i="1"/>
  <c r="Z91" i="1"/>
  <c r="P36" i="1"/>
  <c r="F115" i="1"/>
  <c r="F83" i="1"/>
  <c r="K315" i="1"/>
  <c r="K316" i="1" s="1"/>
  <c r="Z276" i="1"/>
  <c r="X257" i="1"/>
  <c r="U235" i="1"/>
  <c r="U234" i="1" s="1"/>
  <c r="Q235" i="1"/>
  <c r="Q234" i="1" s="1"/>
  <c r="U228" i="1"/>
  <c r="U222" i="1" s="1"/>
  <c r="S222" i="1"/>
  <c r="Y222" i="1"/>
  <c r="F219" i="1"/>
  <c r="F169" i="1"/>
  <c r="P166" i="1"/>
  <c r="F141" i="1"/>
  <c r="F138" i="1" s="1"/>
  <c r="F51" i="1"/>
  <c r="P234" i="1"/>
  <c r="F123" i="1"/>
  <c r="F36" i="1"/>
  <c r="X33" i="1"/>
  <c r="P83" i="1"/>
  <c r="Z93" i="1"/>
  <c r="Z255" i="1"/>
  <c r="Z297" i="1"/>
  <c r="P294" i="1"/>
  <c r="X249" i="1"/>
  <c r="X235" i="1"/>
  <c r="Y157" i="1"/>
  <c r="F166" i="1"/>
  <c r="W115" i="1"/>
  <c r="X123" i="1"/>
  <c r="X117" i="1"/>
  <c r="H315" i="1"/>
  <c r="H316" i="1" s="1"/>
  <c r="W249" i="1"/>
  <c r="X58" i="1"/>
  <c r="V51" i="1"/>
  <c r="V33" i="1" s="1"/>
  <c r="R222" i="1"/>
  <c r="F222" i="1"/>
  <c r="T223" i="1"/>
  <c r="T222" i="1" s="1"/>
  <c r="Z132" i="1"/>
  <c r="T128" i="1"/>
  <c r="T127" i="1" s="1"/>
  <c r="U115" i="1"/>
  <c r="F34" i="1"/>
  <c r="Y11" i="1"/>
  <c r="S104" i="1"/>
  <c r="R262" i="1"/>
  <c r="T262" i="1"/>
  <c r="V225" i="1"/>
  <c r="Z225" i="1" s="1"/>
  <c r="W169" i="1"/>
  <c r="U128" i="1"/>
  <c r="U127" i="1" s="1"/>
  <c r="Z119" i="1"/>
  <c r="T115" i="1"/>
  <c r="Q114" i="1"/>
  <c r="P77" i="1"/>
  <c r="F61" i="1"/>
  <c r="F58" i="1" s="1"/>
  <c r="F44" i="1"/>
  <c r="R104" i="1"/>
  <c r="Q273" i="1"/>
  <c r="Z273" i="1" s="1"/>
  <c r="F235" i="1"/>
  <c r="S235" i="1"/>
  <c r="S234" i="1" s="1"/>
  <c r="V173" i="1"/>
  <c r="Z173" i="1" s="1"/>
  <c r="P114" i="1"/>
  <c r="T11" i="1"/>
  <c r="T69" i="1"/>
  <c r="S98" i="1"/>
  <c r="Q104" i="1"/>
  <c r="Q95" i="1" s="1"/>
  <c r="P104" i="1"/>
  <c r="P95" i="1" s="1"/>
  <c r="P98" i="1"/>
  <c r="W95" i="1"/>
  <c r="U58" i="1"/>
  <c r="T88" i="1"/>
  <c r="U88" i="1"/>
  <c r="U76" i="1" s="1"/>
  <c r="P79" i="1"/>
  <c r="P69" i="1"/>
  <c r="Q67" i="1"/>
  <c r="R67" i="1"/>
  <c r="S67" i="1"/>
  <c r="P67" i="1"/>
  <c r="Q59" i="1"/>
  <c r="P59" i="1"/>
  <c r="R59" i="1"/>
  <c r="S59" i="1"/>
  <c r="M314" i="1"/>
  <c r="U262" i="1"/>
  <c r="Y128" i="1"/>
  <c r="Y127" i="1" s="1"/>
  <c r="X133" i="1"/>
  <c r="X128" i="1" s="1"/>
  <c r="X127" i="1" s="1"/>
  <c r="F128" i="1"/>
  <c r="F127" i="1" s="1"/>
  <c r="F297" i="1"/>
  <c r="P262" i="1"/>
  <c r="V228" i="1"/>
  <c r="W200" i="1"/>
  <c r="Z131" i="1"/>
  <c r="Z229" i="1"/>
  <c r="Z256" i="1"/>
  <c r="Z253" i="1"/>
  <c r="F281" i="1"/>
  <c r="S262" i="1"/>
  <c r="W239" i="1"/>
  <c r="F200" i="1"/>
  <c r="Z202" i="1"/>
  <c r="X176" i="1"/>
  <c r="T34" i="1"/>
  <c r="M315" i="1"/>
  <c r="Z159" i="1"/>
  <c r="F196" i="1"/>
  <c r="R187" i="1"/>
  <c r="S187" i="1"/>
  <c r="F187" i="1"/>
  <c r="T187" i="1"/>
  <c r="V187" i="1"/>
  <c r="P187" i="1"/>
  <c r="U117" i="1"/>
  <c r="F117" i="1"/>
  <c r="Y176" i="1"/>
  <c r="Z247" i="1"/>
  <c r="Z270" i="1"/>
  <c r="W222" i="1"/>
  <c r="W187" i="1"/>
  <c r="S95" i="1"/>
  <c r="X95" i="1"/>
  <c r="W58" i="1"/>
  <c r="Z274" i="1"/>
  <c r="V262" i="1"/>
  <c r="V235" i="1"/>
  <c r="V234" i="1" s="1"/>
  <c r="F214" i="1"/>
  <c r="T98" i="1"/>
  <c r="U98" i="1"/>
  <c r="U95" i="1" s="1"/>
  <c r="F257" i="1"/>
  <c r="F234" i="1" s="1"/>
  <c r="Q128" i="1"/>
  <c r="Q127" i="1" s="1"/>
  <c r="S294" i="1"/>
  <c r="F278" i="1"/>
  <c r="F263" i="1"/>
  <c r="W257" i="1"/>
  <c r="F205" i="1"/>
  <c r="Q294" i="1"/>
  <c r="Y279" i="1"/>
  <c r="Y278" i="1" s="1"/>
  <c r="Y262" i="1" s="1"/>
  <c r="Y123" i="1"/>
  <c r="Y114" i="1" s="1"/>
  <c r="P309" i="1"/>
  <c r="X279" i="1"/>
  <c r="X278" i="1" s="1"/>
  <c r="X262" i="1" s="1"/>
  <c r="Z209" i="1"/>
  <c r="W147" i="1"/>
  <c r="W279" i="1"/>
  <c r="W278" i="1" s="1"/>
  <c r="W262" i="1" s="1"/>
  <c r="F160" i="1"/>
  <c r="Z269" i="1"/>
  <c r="Z268" i="1"/>
  <c r="Z266" i="1"/>
  <c r="Z264" i="1"/>
  <c r="Z203" i="1"/>
  <c r="Z267" i="1"/>
  <c r="Z272" i="1"/>
  <c r="Z271" i="1"/>
  <c r="Z236" i="1"/>
  <c r="Z152" i="1"/>
  <c r="Z218" i="1"/>
  <c r="Z30" i="1"/>
  <c r="Z31" i="1"/>
  <c r="Z28" i="1"/>
  <c r="AD176" i="1" l="1"/>
  <c r="Q20" i="1"/>
  <c r="Q11" i="1" s="1"/>
  <c r="Z199" i="1"/>
  <c r="P196" i="1"/>
  <c r="R34" i="1"/>
  <c r="Z72" i="1"/>
  <c r="Z41" i="1"/>
  <c r="V114" i="1"/>
  <c r="Z293" i="1"/>
  <c r="Z251" i="1"/>
  <c r="R79" i="1"/>
  <c r="Q79" i="1"/>
  <c r="W235" i="1"/>
  <c r="Z148" i="1"/>
  <c r="T205" i="1"/>
  <c r="Z212" i="1"/>
  <c r="Z286" i="1"/>
  <c r="Z252" i="1"/>
  <c r="Q83" i="1"/>
  <c r="R95" i="1"/>
  <c r="Z115" i="1"/>
  <c r="P138" i="1"/>
  <c r="S281" i="1"/>
  <c r="T282" i="1"/>
  <c r="Z210" i="1"/>
  <c r="Z283" i="1"/>
  <c r="Z284" i="1"/>
  <c r="U288" i="1"/>
  <c r="U281" i="1" s="1"/>
  <c r="V288" i="1"/>
  <c r="V281" i="1" s="1"/>
  <c r="Z86" i="1"/>
  <c r="V128" i="1"/>
  <c r="V127" i="1" s="1"/>
  <c r="U123" i="1"/>
  <c r="U114" i="1" s="1"/>
  <c r="Y234" i="1"/>
  <c r="R117" i="1"/>
  <c r="R114" i="1" s="1"/>
  <c r="Z82" i="1"/>
  <c r="Z52" i="1"/>
  <c r="Z288" i="1"/>
  <c r="X137" i="1"/>
  <c r="X313" i="1" s="1"/>
  <c r="Z287" i="1"/>
  <c r="Z221" i="1"/>
  <c r="Z219" i="1"/>
  <c r="W166" i="1"/>
  <c r="P157" i="1"/>
  <c r="R157" i="1"/>
  <c r="Z162" i="1"/>
  <c r="Y137" i="1"/>
  <c r="Q77" i="1"/>
  <c r="Z55" i="1"/>
  <c r="S123" i="1"/>
  <c r="F76" i="1"/>
  <c r="Z40" i="1"/>
  <c r="Q138" i="1"/>
  <c r="Z249" i="1"/>
  <c r="T83" i="1"/>
  <c r="T76" i="1" s="1"/>
  <c r="W123" i="1"/>
  <c r="Z143" i="1"/>
  <c r="Z48" i="1"/>
  <c r="T157" i="1"/>
  <c r="S157" i="1"/>
  <c r="R128" i="1"/>
  <c r="R127" i="1" s="1"/>
  <c r="Z50" i="1"/>
  <c r="T36" i="1"/>
  <c r="Q36" i="1"/>
  <c r="Z46" i="1"/>
  <c r="N317" i="1"/>
  <c r="N318" i="1" s="1"/>
  <c r="Z158" i="1"/>
  <c r="Y307" i="1"/>
  <c r="R307" i="1"/>
  <c r="S307" i="1"/>
  <c r="V92" i="1"/>
  <c r="U33" i="1"/>
  <c r="Z168" i="1"/>
  <c r="Q157" i="1"/>
  <c r="S117" i="1"/>
  <c r="F280" i="1"/>
  <c r="Z228" i="1"/>
  <c r="Z62" i="1"/>
  <c r="P307" i="1"/>
  <c r="P280" i="1" s="1"/>
  <c r="R83" i="1"/>
  <c r="Q307" i="1"/>
  <c r="Z176" i="1"/>
  <c r="S128" i="1"/>
  <c r="S127" i="1" s="1"/>
  <c r="Z144" i="1"/>
  <c r="X307" i="1"/>
  <c r="T307" i="1"/>
  <c r="S36" i="1"/>
  <c r="Z75" i="1"/>
  <c r="Z198" i="1"/>
  <c r="W307" i="1"/>
  <c r="P193" i="1"/>
  <c r="P190" i="1" s="1"/>
  <c r="P186" i="1" s="1"/>
  <c r="S44" i="1"/>
  <c r="Z149" i="1"/>
  <c r="V307" i="1"/>
  <c r="S309" i="1"/>
  <c r="R309" i="1"/>
  <c r="Y309" i="1"/>
  <c r="Y280" i="1" s="1"/>
  <c r="Q309" i="1"/>
  <c r="X309" i="1"/>
  <c r="W309" i="1"/>
  <c r="T309" i="1"/>
  <c r="V309" i="1"/>
  <c r="U309" i="1"/>
  <c r="U280" i="1" s="1"/>
  <c r="W157" i="1"/>
  <c r="U157" i="1"/>
  <c r="X114" i="1"/>
  <c r="Z87" i="1"/>
  <c r="R44" i="1"/>
  <c r="R36" i="1"/>
  <c r="Z59" i="1"/>
  <c r="X234" i="1"/>
  <c r="Z122" i="1"/>
  <c r="T117" i="1"/>
  <c r="Z45" i="1"/>
  <c r="V154" i="1"/>
  <c r="Z154" i="1" s="1"/>
  <c r="W128" i="1"/>
  <c r="W127" i="1" s="1"/>
  <c r="Z136" i="1"/>
  <c r="Z49" i="1"/>
  <c r="F114" i="1"/>
  <c r="H317" i="1"/>
  <c r="H318" i="1" s="1"/>
  <c r="I324" i="1" s="1"/>
  <c r="K317" i="1"/>
  <c r="K318" i="1" s="1"/>
  <c r="Q262" i="1"/>
  <c r="Z51" i="1"/>
  <c r="M316" i="1"/>
  <c r="Q88" i="1"/>
  <c r="P88" i="1"/>
  <c r="P76" i="1" s="1"/>
  <c r="R88" i="1"/>
  <c r="Z53" i="1"/>
  <c r="Z223" i="1"/>
  <c r="Z177" i="1"/>
  <c r="F262" i="1"/>
  <c r="T44" i="1"/>
  <c r="W234" i="1"/>
  <c r="Z250" i="1"/>
  <c r="Z73" i="1"/>
  <c r="Z126" i="1"/>
  <c r="Z175" i="1"/>
  <c r="Z116" i="1"/>
  <c r="V222" i="1"/>
  <c r="Z222" i="1" s="1"/>
  <c r="Z68" i="1"/>
  <c r="S42" i="1"/>
  <c r="T42" i="1"/>
  <c r="Q42" i="1"/>
  <c r="R42" i="1"/>
  <c r="F33" i="1"/>
  <c r="F190" i="1"/>
  <c r="F186" i="1" s="1"/>
  <c r="Z189" i="1"/>
  <c r="W117" i="1"/>
  <c r="V157" i="1"/>
  <c r="Z66" i="1"/>
  <c r="Z67" i="1"/>
  <c r="Z74" i="1"/>
  <c r="S83" i="1"/>
  <c r="T123" i="1"/>
  <c r="W138" i="1"/>
  <c r="Z64" i="1"/>
  <c r="P12" i="1"/>
  <c r="P11" i="1" s="1"/>
  <c r="Z18" i="1"/>
  <c r="F157" i="1"/>
  <c r="F137" i="1" s="1"/>
  <c r="Q44" i="1"/>
  <c r="S69" i="1"/>
  <c r="Q69" i="1"/>
  <c r="Z71" i="1"/>
  <c r="Z70" i="1"/>
  <c r="R69" i="1"/>
  <c r="Z60" i="1"/>
  <c r="M317" i="1"/>
  <c r="M318" i="1" s="1"/>
  <c r="Z32" i="1"/>
  <c r="Z38" i="1"/>
  <c r="Z165" i="1"/>
  <c r="Y190" i="1"/>
  <c r="Y186" i="1" s="1"/>
  <c r="Z215" i="1"/>
  <c r="Z239" i="1"/>
  <c r="X205" i="1"/>
  <c r="X190" i="1" s="1"/>
  <c r="X186" i="1" s="1"/>
  <c r="S54" i="1"/>
  <c r="T54" i="1"/>
  <c r="P54" i="1"/>
  <c r="P33" i="1" s="1"/>
  <c r="R54" i="1"/>
  <c r="Q54" i="1"/>
  <c r="Z207" i="1"/>
  <c r="Z80" i="1"/>
  <c r="W190" i="1"/>
  <c r="W186" i="1" s="1"/>
  <c r="Z133" i="1"/>
  <c r="Z130" i="1"/>
  <c r="Z257" i="1"/>
  <c r="Z258" i="1"/>
  <c r="Z192" i="1"/>
  <c r="Z208" i="1"/>
  <c r="Z220" i="1"/>
  <c r="Z37" i="1"/>
  <c r="Z63" i="1"/>
  <c r="Z90" i="1"/>
  <c r="Z295" i="1"/>
  <c r="Z125" i="1"/>
  <c r="Z27" i="1"/>
  <c r="Z135" i="1"/>
  <c r="Z161" i="1"/>
  <c r="Z201" i="1"/>
  <c r="Z194" i="1"/>
  <c r="Z263" i="1"/>
  <c r="Z84" i="1"/>
  <c r="Z124" i="1"/>
  <c r="Z171" i="1"/>
  <c r="Z118" i="1"/>
  <c r="Z235" i="1"/>
  <c r="Z120" i="1"/>
  <c r="Z85" i="1"/>
  <c r="Z21" i="1"/>
  <c r="Z129" i="1"/>
  <c r="Z167" i="1"/>
  <c r="Z146" i="1"/>
  <c r="Z121" i="1"/>
  <c r="Z279" i="1"/>
  <c r="Z47" i="1"/>
  <c r="Z39" i="1"/>
  <c r="Z23" i="1"/>
  <c r="Z24" i="1"/>
  <c r="X315" i="1" l="1"/>
  <c r="X314" i="1"/>
  <c r="P137" i="1"/>
  <c r="Y313" i="1"/>
  <c r="Y315" i="1" s="1"/>
  <c r="Q280" i="1"/>
  <c r="X280" i="1"/>
  <c r="R190" i="1"/>
  <c r="R186" i="1" s="1"/>
  <c r="S138" i="1"/>
  <c r="S137" i="1" s="1"/>
  <c r="W114" i="1"/>
  <c r="Z147" i="1"/>
  <c r="Z81" i="1"/>
  <c r="S280" i="1"/>
  <c r="T281" i="1"/>
  <c r="Z282" i="1"/>
  <c r="Z309" i="1"/>
  <c r="T114" i="1"/>
  <c r="R76" i="1"/>
  <c r="Z197" i="1"/>
  <c r="V190" i="1"/>
  <c r="V186" i="1" s="1"/>
  <c r="W137" i="1"/>
  <c r="Z166" i="1"/>
  <c r="T138" i="1"/>
  <c r="T137" i="1" s="1"/>
  <c r="Q137" i="1"/>
  <c r="Z307" i="1"/>
  <c r="Z123" i="1"/>
  <c r="S114" i="1"/>
  <c r="T190" i="1"/>
  <c r="T186" i="1" s="1"/>
  <c r="Z89" i="1"/>
  <c r="V280" i="1"/>
  <c r="S33" i="1"/>
  <c r="T33" i="1"/>
  <c r="Q190" i="1"/>
  <c r="Q186" i="1" s="1"/>
  <c r="Z193" i="1"/>
  <c r="Z308" i="1"/>
  <c r="S190" i="1"/>
  <c r="S186" i="1" s="1"/>
  <c r="Z195" i="1"/>
  <c r="W280" i="1"/>
  <c r="Z310" i="1"/>
  <c r="Z196" i="1"/>
  <c r="R280" i="1"/>
  <c r="Z234" i="1"/>
  <c r="V76" i="1"/>
  <c r="Z92" i="1"/>
  <c r="T259" i="1"/>
  <c r="V259" i="1"/>
  <c r="U138" i="1"/>
  <c r="U137" i="1" s="1"/>
  <c r="Z205" i="1"/>
  <c r="R33" i="1"/>
  <c r="S88" i="1"/>
  <c r="S76" i="1" s="1"/>
  <c r="Q76" i="1"/>
  <c r="Z43" i="1"/>
  <c r="F313" i="1"/>
  <c r="F315" i="1" s="1"/>
  <c r="Q33" i="1"/>
  <c r="Z69" i="1"/>
  <c r="U190" i="1"/>
  <c r="U186" i="1" s="1"/>
  <c r="Z56" i="1"/>
  <c r="Z191" i="1"/>
  <c r="Z117" i="1"/>
  <c r="Z278" i="1"/>
  <c r="Z262" i="1"/>
  <c r="Z83" i="1"/>
  <c r="Z169" i="1"/>
  <c r="Z294" i="1"/>
  <c r="Z200" i="1"/>
  <c r="Z214" i="1"/>
  <c r="Z127" i="1"/>
  <c r="Z128" i="1"/>
  <c r="Z160" i="1"/>
  <c r="Z35" i="1"/>
  <c r="Z187" i="1"/>
  <c r="Z88" i="1" l="1"/>
  <c r="Z114" i="1"/>
  <c r="R138" i="1"/>
  <c r="R137" i="1" s="1"/>
  <c r="W259" i="1"/>
  <c r="W313" i="1" s="1"/>
  <c r="W314" i="1" s="1"/>
  <c r="U259" i="1"/>
  <c r="U313" i="1" s="1"/>
  <c r="U314" i="1" s="1"/>
  <c r="F314" i="1"/>
  <c r="F316" i="1" s="1"/>
  <c r="F317" i="1" s="1"/>
  <c r="F318" i="1" s="1"/>
  <c r="Z157" i="1"/>
  <c r="Z190" i="1"/>
  <c r="W315" i="1" l="1"/>
  <c r="X259" i="1"/>
  <c r="U315" i="1"/>
  <c r="U316" i="1" s="1"/>
  <c r="U317" i="1" s="1"/>
  <c r="U318" i="1" s="1"/>
  <c r="Z142" i="1"/>
  <c r="L320" i="1"/>
  <c r="N320" i="1"/>
  <c r="K320" i="1"/>
  <c r="H320" i="1"/>
  <c r="J320" i="1"/>
  <c r="I320" i="1"/>
  <c r="O320" i="1"/>
  <c r="G320" i="1"/>
  <c r="G321" i="1" s="1"/>
  <c r="M320" i="1"/>
  <c r="Z186" i="1"/>
  <c r="U320" i="1" l="1"/>
  <c r="U331" i="1" s="1"/>
  <c r="H321" i="1"/>
  <c r="I321" i="1" s="1"/>
  <c r="J321" i="1" s="1"/>
  <c r="K321" i="1" s="1"/>
  <c r="L321" i="1" s="1"/>
  <c r="M321" i="1" s="1"/>
  <c r="N321" i="1" s="1"/>
  <c r="O321" i="1" s="1"/>
  <c r="W316" i="1"/>
  <c r="V138" i="1"/>
  <c r="Z141" i="1"/>
  <c r="W317" i="1" l="1"/>
  <c r="W318" i="1" s="1"/>
  <c r="X316" i="1"/>
  <c r="Y259" i="1"/>
  <c r="Z261" i="1"/>
  <c r="V137" i="1"/>
  <c r="Z138" i="1"/>
  <c r="W320" i="1" l="1"/>
  <c r="W331" i="1" s="1"/>
  <c r="X317" i="1"/>
  <c r="X318" i="1" s="1"/>
  <c r="X320" i="1" s="1"/>
  <c r="X331" i="1" s="1"/>
  <c r="Z259" i="1"/>
  <c r="V313" i="1"/>
  <c r="V314" i="1" s="1"/>
  <c r="Z137" i="1"/>
  <c r="Y314" i="1" l="1"/>
  <c r="V315" i="1"/>
  <c r="Y316" i="1" l="1"/>
  <c r="V316" i="1"/>
  <c r="V317" i="1" s="1"/>
  <c r="Y317" i="1" l="1"/>
  <c r="Y318" i="1" s="1"/>
  <c r="Y320" i="1" s="1"/>
  <c r="Y331" i="1" s="1"/>
  <c r="V318" i="1"/>
  <c r="V320" i="1" s="1"/>
  <c r="V331" i="1" l="1"/>
  <c r="AD14" i="1" l="1"/>
  <c r="AF14" i="1" s="1"/>
  <c r="AD15" i="1"/>
  <c r="AF15" i="1" s="1"/>
  <c r="AD16" i="1"/>
  <c r="AF16" i="1" s="1"/>
  <c r="AD17" i="1"/>
  <c r="AF17" i="1" s="1"/>
  <c r="AD19" i="1"/>
  <c r="AF19" i="1" s="1"/>
  <c r="AD22" i="1"/>
  <c r="AF22" i="1" s="1"/>
  <c r="AD23" i="1"/>
  <c r="AF23" i="1" s="1"/>
  <c r="AD24" i="1"/>
  <c r="AF24" i="1" s="1"/>
  <c r="AD25" i="1"/>
  <c r="AF25" i="1" s="1"/>
  <c r="AD26" i="1"/>
  <c r="AF26" i="1" s="1"/>
  <c r="AD27" i="1"/>
  <c r="AF27" i="1" s="1"/>
  <c r="AD28" i="1"/>
  <c r="AF28" i="1" s="1"/>
  <c r="AD29" i="1"/>
  <c r="AF29" i="1" s="1"/>
  <c r="AD30" i="1"/>
  <c r="AF30" i="1" s="1"/>
  <c r="AD31" i="1"/>
  <c r="AF31" i="1" s="1"/>
  <c r="AD32" i="1"/>
  <c r="AF32" i="1" s="1"/>
  <c r="AD60" i="1"/>
  <c r="AF60" i="1" s="1"/>
  <c r="AD62" i="1"/>
  <c r="AF62" i="1" s="1"/>
  <c r="AD64" i="1"/>
  <c r="AF64" i="1" s="1"/>
  <c r="AD68" i="1"/>
  <c r="AF68" i="1" s="1"/>
  <c r="AD70" i="1"/>
  <c r="AF70" i="1" s="1"/>
  <c r="AD71" i="1"/>
  <c r="AF71" i="1" s="1"/>
  <c r="AD73" i="1"/>
  <c r="AF73" i="1" s="1"/>
  <c r="AD74" i="1"/>
  <c r="AF74" i="1" s="1"/>
  <c r="AD75" i="1"/>
  <c r="AF75" i="1" s="1"/>
  <c r="AD134" i="1"/>
  <c r="AF134" i="1" s="1"/>
  <c r="AD140" i="1"/>
  <c r="AF140" i="1" s="1"/>
  <c r="AD143" i="1"/>
  <c r="AF143" i="1" s="1"/>
  <c r="AD144" i="1"/>
  <c r="AF144" i="1" s="1"/>
  <c r="AD145" i="1"/>
  <c r="AF145" i="1" s="1"/>
  <c r="AD149" i="1"/>
  <c r="AF149" i="1" s="1"/>
  <c r="AD151" i="1"/>
  <c r="AF151" i="1" s="1"/>
  <c r="AD153" i="1"/>
  <c r="AF153" i="1" s="1"/>
  <c r="AD155" i="1"/>
  <c r="AF155" i="1" s="1"/>
  <c r="AD159" i="1"/>
  <c r="AF159" i="1" s="1"/>
  <c r="AD162" i="1"/>
  <c r="AF162" i="1" s="1"/>
  <c r="AD163" i="1"/>
  <c r="AF163" i="1" s="1"/>
  <c r="AD164" i="1"/>
  <c r="AF164" i="1" s="1"/>
  <c r="AD168" i="1"/>
  <c r="AF168" i="1" s="1"/>
  <c r="AD170" i="1"/>
  <c r="AF170" i="1" s="1"/>
  <c r="AD172" i="1"/>
  <c r="AF172" i="1" s="1"/>
  <c r="AD174" i="1"/>
  <c r="AF174" i="1" s="1"/>
  <c r="AF178" i="1"/>
  <c r="AF179" i="1"/>
  <c r="AF180" i="1"/>
  <c r="AF181" i="1"/>
  <c r="AF182" i="1"/>
  <c r="AF183" i="1"/>
  <c r="AF184" i="1"/>
  <c r="AF185" i="1"/>
  <c r="AD188" i="1"/>
  <c r="AF188" i="1" s="1"/>
  <c r="AD224" i="1"/>
  <c r="AF224" i="1" s="1"/>
  <c r="AD226" i="1"/>
  <c r="AF226" i="1" s="1"/>
  <c r="AD227" i="1"/>
  <c r="AF227" i="1" s="1"/>
  <c r="AD229" i="1"/>
  <c r="AF229" i="1" s="1"/>
  <c r="AD230" i="1"/>
  <c r="AF230" i="1" s="1"/>
  <c r="AD231" i="1"/>
  <c r="AF231" i="1" s="1"/>
  <c r="AD232" i="1"/>
  <c r="AF232" i="1" s="1"/>
  <c r="AD233" i="1"/>
  <c r="AF233" i="1" s="1"/>
  <c r="AD237" i="1"/>
  <c r="AF237" i="1" s="1"/>
  <c r="AD238" i="1"/>
  <c r="AF238" i="1" s="1"/>
  <c r="AD240" i="1"/>
  <c r="AF240" i="1" s="1"/>
  <c r="AD241" i="1"/>
  <c r="AF241" i="1" s="1"/>
  <c r="AD242" i="1"/>
  <c r="AF242" i="1" s="1"/>
  <c r="AD244" i="1"/>
  <c r="AF244" i="1" s="1"/>
  <c r="AD245" i="1"/>
  <c r="AF245" i="1" s="1"/>
  <c r="AD248" i="1"/>
  <c r="AF248" i="1" s="1"/>
  <c r="AD254" i="1"/>
  <c r="AF254" i="1" s="1"/>
  <c r="AD256" i="1"/>
  <c r="AF256" i="1" s="1"/>
  <c r="AD260" i="1"/>
  <c r="AF260" i="1" s="1"/>
  <c r="AD261" i="1"/>
  <c r="AF261" i="1" s="1"/>
  <c r="AD264" i="1"/>
  <c r="AF264" i="1" s="1"/>
  <c r="AD265" i="1"/>
  <c r="AF265" i="1" s="1"/>
  <c r="AD268" i="1"/>
  <c r="AF268" i="1" s="1"/>
  <c r="AD270" i="1"/>
  <c r="AF270" i="1" s="1"/>
  <c r="AD272" i="1"/>
  <c r="AF272" i="1" s="1"/>
  <c r="AD274" i="1"/>
  <c r="AF274" i="1" s="1"/>
  <c r="AD275" i="1"/>
  <c r="AF275" i="1" s="1"/>
  <c r="AD277" i="1"/>
  <c r="AF277" i="1" s="1"/>
  <c r="AD312" i="1"/>
  <c r="AF312" i="1" s="1"/>
  <c r="AD13" i="1" l="1"/>
  <c r="AF13" i="1" s="1"/>
  <c r="AF7" i="1"/>
  <c r="AJ7" i="1" s="1"/>
  <c r="Q61" i="1" l="1"/>
  <c r="Q58" i="1" s="1"/>
  <c r="Q313" i="1" s="1"/>
  <c r="R61" i="1"/>
  <c r="R58" i="1" s="1"/>
  <c r="R313" i="1" s="1"/>
  <c r="S61" i="1"/>
  <c r="S58" i="1" s="1"/>
  <c r="S313" i="1" s="1"/>
  <c r="T61" i="1"/>
  <c r="T58" i="1" s="1"/>
  <c r="P61" i="1"/>
  <c r="P58" i="1" s="1"/>
  <c r="P313" i="1" s="1"/>
  <c r="Z77" i="1"/>
  <c r="AD298" i="1"/>
  <c r="AF298" i="1" s="1"/>
  <c r="AD129" i="1"/>
  <c r="AF129" i="1" s="1"/>
  <c r="AD207" i="1"/>
  <c r="AF207" i="1" s="1"/>
  <c r="AD216" i="1"/>
  <c r="AF216" i="1" s="1"/>
  <c r="AD258" i="1"/>
  <c r="AF258" i="1" s="1"/>
  <c r="AD289" i="1"/>
  <c r="AF289" i="1" s="1"/>
  <c r="AD299" i="1"/>
  <c r="AF299" i="1" s="1"/>
  <c r="AD197" i="1"/>
  <c r="AF197" i="1" s="1"/>
  <c r="AD94" i="1"/>
  <c r="AF94" i="1" s="1"/>
  <c r="AD130" i="1"/>
  <c r="AF130" i="1" s="1"/>
  <c r="AD146" i="1"/>
  <c r="AF146" i="1" s="1"/>
  <c r="AD198" i="1"/>
  <c r="AF198" i="1" s="1"/>
  <c r="AD208" i="1"/>
  <c r="AF208" i="1" s="1"/>
  <c r="AD217" i="1"/>
  <c r="AF217" i="1" s="1"/>
  <c r="AD282" i="1"/>
  <c r="AF282" i="1" s="1"/>
  <c r="AD290" i="1"/>
  <c r="AF290" i="1" s="1"/>
  <c r="AD300" i="1"/>
  <c r="AF300" i="1" s="1"/>
  <c r="AD148" i="1"/>
  <c r="AF148" i="1" s="1"/>
  <c r="AD175" i="1"/>
  <c r="AF175" i="1" s="1"/>
  <c r="AD199" i="1"/>
  <c r="AF199" i="1" s="1"/>
  <c r="AD209" i="1"/>
  <c r="AF209" i="1" s="1"/>
  <c r="AD218" i="1"/>
  <c r="AF218" i="1" s="1"/>
  <c r="AD266" i="1"/>
  <c r="AF266" i="1" s="1"/>
  <c r="AD301" i="1"/>
  <c r="AF301" i="1" s="1"/>
  <c r="AD201" i="1"/>
  <c r="AF201" i="1" s="1"/>
  <c r="AD210" i="1"/>
  <c r="AF210" i="1" s="1"/>
  <c r="AD220" i="1"/>
  <c r="AF220" i="1" s="1"/>
  <c r="AD302" i="1"/>
  <c r="AF302" i="1" s="1"/>
  <c r="AD195" i="1"/>
  <c r="AF195" i="1" s="1"/>
  <c r="AD306" i="1"/>
  <c r="AF306" i="1" s="1"/>
  <c r="AD132" i="1"/>
  <c r="AF132" i="1" s="1"/>
  <c r="AD202" i="1"/>
  <c r="AF202" i="1" s="1"/>
  <c r="AD211" i="1"/>
  <c r="AF211" i="1" s="1"/>
  <c r="AD221" i="1"/>
  <c r="AF221" i="1" s="1"/>
  <c r="AD293" i="1"/>
  <c r="AF293" i="1" s="1"/>
  <c r="AD303" i="1"/>
  <c r="AF303" i="1" s="1"/>
  <c r="AD206" i="1"/>
  <c r="AF206" i="1" s="1"/>
  <c r="AD203" i="1"/>
  <c r="AF203" i="1" s="1"/>
  <c r="AD212" i="1"/>
  <c r="AF212" i="1" s="1"/>
  <c r="AD304" i="1"/>
  <c r="AF304" i="1" s="1"/>
  <c r="AD215" i="1"/>
  <c r="AF215" i="1" s="1"/>
  <c r="AD112" i="1"/>
  <c r="AD90" i="1"/>
  <c r="AF90" i="1" s="1"/>
  <c r="AD125" i="1"/>
  <c r="AD161" i="1"/>
  <c r="AF161" i="1" s="1"/>
  <c r="AD194" i="1"/>
  <c r="AF194" i="1" s="1"/>
  <c r="AD204" i="1"/>
  <c r="AF204" i="1" s="1"/>
  <c r="AD213" i="1"/>
  <c r="AF213" i="1" s="1"/>
  <c r="AD287" i="1"/>
  <c r="AF287" i="1" s="1"/>
  <c r="AD296" i="1"/>
  <c r="AF296" i="1" s="1"/>
  <c r="AD305" i="1"/>
  <c r="AF305" i="1" s="1"/>
  <c r="AD57" i="1"/>
  <c r="AF57" i="1" s="1"/>
  <c r="AD67" i="1"/>
  <c r="AF67" i="1" s="1"/>
  <c r="AD139" i="1"/>
  <c r="AF139" i="1" s="1"/>
  <c r="AD243" i="1"/>
  <c r="AF243" i="1" s="1"/>
  <c r="AD269" i="1"/>
  <c r="AF269" i="1" s="1"/>
  <c r="AF177" i="1"/>
  <c r="AD273" i="1"/>
  <c r="AF273" i="1" s="1"/>
  <c r="AD271" i="1"/>
  <c r="AF271" i="1" s="1"/>
  <c r="AD223" i="1"/>
  <c r="AF223" i="1" s="1"/>
  <c r="AD276" i="1"/>
  <c r="AF276" i="1" s="1"/>
  <c r="AD158" i="1"/>
  <c r="AF158" i="1" s="1"/>
  <c r="AD225" i="1"/>
  <c r="AF225" i="1" s="1"/>
  <c r="AD253" i="1"/>
  <c r="AF253" i="1" s="1"/>
  <c r="AD311" i="1"/>
  <c r="AF311" i="1" s="1"/>
  <c r="AD246" i="1"/>
  <c r="AD247" i="1"/>
  <c r="AF247" i="1" s="1"/>
  <c r="AD228" i="1"/>
  <c r="AF228" i="1" s="1"/>
  <c r="AD255" i="1"/>
  <c r="AF255" i="1" s="1"/>
  <c r="AD59" i="1"/>
  <c r="AF59" i="1" s="1"/>
  <c r="AD236" i="1"/>
  <c r="AF236" i="1" s="1"/>
  <c r="AD259" i="1"/>
  <c r="AF259" i="1" s="1"/>
  <c r="AD239" i="1"/>
  <c r="AF239" i="1" s="1"/>
  <c r="AD267" i="1"/>
  <c r="AF267" i="1" s="1"/>
  <c r="AF112" i="1" l="1"/>
  <c r="AF125" i="1"/>
  <c r="P315" i="1"/>
  <c r="P314" i="1"/>
  <c r="S314" i="1"/>
  <c r="S315" i="1"/>
  <c r="R315" i="1"/>
  <c r="R314" i="1"/>
  <c r="Q315" i="1"/>
  <c r="Q314" i="1"/>
  <c r="Z65" i="1"/>
  <c r="Z79" i="1"/>
  <c r="Z42" i="1"/>
  <c r="AD34" i="1"/>
  <c r="AF34" i="1" s="1"/>
  <c r="Z34" i="1"/>
  <c r="Z20" i="1"/>
  <c r="Z12" i="1"/>
  <c r="AD35" i="1"/>
  <c r="AF35" i="1" s="1"/>
  <c r="AD113" i="1"/>
  <c r="AD133" i="1"/>
  <c r="AF133" i="1" s="1"/>
  <c r="AD252" i="1"/>
  <c r="AF252" i="1" s="1"/>
  <c r="AD251" i="1"/>
  <c r="AF251" i="1" s="1"/>
  <c r="AD99" i="1"/>
  <c r="AF99" i="1" s="1"/>
  <c r="AD152" i="1"/>
  <c r="AF152" i="1" s="1"/>
  <c r="AD283" i="1"/>
  <c r="AF283" i="1" s="1"/>
  <c r="AD85" i="1"/>
  <c r="AF85" i="1" s="1"/>
  <c r="AD171" i="1"/>
  <c r="AF171" i="1" s="1"/>
  <c r="AD119" i="1"/>
  <c r="AD136" i="1"/>
  <c r="AF136" i="1" s="1"/>
  <c r="AD101" i="1"/>
  <c r="AF101" i="1" s="1"/>
  <c r="AD285" i="1"/>
  <c r="AF285" i="1" s="1"/>
  <c r="AD87" i="1"/>
  <c r="AF87" i="1" s="1"/>
  <c r="AD292" i="1"/>
  <c r="AF292" i="1" s="1"/>
  <c r="AD108" i="1"/>
  <c r="AF108" i="1" s="1"/>
  <c r="AD120" i="1"/>
  <c r="AD288" i="1"/>
  <c r="AF288" i="1" s="1"/>
  <c r="AD295" i="1"/>
  <c r="AF295" i="1" s="1"/>
  <c r="AD165" i="1"/>
  <c r="AF165" i="1" s="1"/>
  <c r="AD80" i="1"/>
  <c r="AF80" i="1" s="1"/>
  <c r="AD135" i="1"/>
  <c r="AF135" i="1" s="1"/>
  <c r="AD124" i="1"/>
  <c r="AD121" i="1"/>
  <c r="AD105" i="1"/>
  <c r="AF105" i="1" s="1"/>
  <c r="AD78" i="1"/>
  <c r="AF78" i="1" s="1"/>
  <c r="AD102" i="1"/>
  <c r="AF102" i="1" s="1"/>
  <c r="AD156" i="1"/>
  <c r="AF156" i="1" s="1"/>
  <c r="AD110" i="1"/>
  <c r="AF110" i="1" s="1"/>
  <c r="AD103" i="1"/>
  <c r="AF103" i="1" s="1"/>
  <c r="AD291" i="1"/>
  <c r="AF291" i="1" s="1"/>
  <c r="AD82" i="1"/>
  <c r="AF82" i="1" s="1"/>
  <c r="AD116" i="1"/>
  <c r="AD89" i="1"/>
  <c r="AF89" i="1" s="1"/>
  <c r="AD286" i="1"/>
  <c r="AF286" i="1" s="1"/>
  <c r="AD284" i="1"/>
  <c r="AF284" i="1" s="1"/>
  <c r="AD131" i="1"/>
  <c r="AF131" i="1" s="1"/>
  <c r="AD107" i="1"/>
  <c r="AF107" i="1" s="1"/>
  <c r="AD97" i="1"/>
  <c r="AF97" i="1" s="1"/>
  <c r="AD96" i="1"/>
  <c r="AF96" i="1" s="1"/>
  <c r="AD167" i="1"/>
  <c r="AF167" i="1" s="1"/>
  <c r="AD192" i="1"/>
  <c r="AF192" i="1" s="1"/>
  <c r="AD250" i="1"/>
  <c r="AF250" i="1" s="1"/>
  <c r="AD249" i="1"/>
  <c r="AF249" i="1" s="1"/>
  <c r="AD122" i="1"/>
  <c r="AD100" i="1"/>
  <c r="AF100" i="1" s="1"/>
  <c r="AD126" i="1"/>
  <c r="AD310" i="1"/>
  <c r="AF310" i="1" s="1"/>
  <c r="AD84" i="1"/>
  <c r="AF84" i="1" s="1"/>
  <c r="AD118" i="1"/>
  <c r="AD308" i="1"/>
  <c r="AF308" i="1" s="1"/>
  <c r="AD93" i="1"/>
  <c r="AF93" i="1" s="1"/>
  <c r="AD92" i="1"/>
  <c r="AF92" i="1" s="1"/>
  <c r="AD81" i="1"/>
  <c r="AF81" i="1" s="1"/>
  <c r="AD189" i="1"/>
  <c r="AF189" i="1" s="1"/>
  <c r="AD86" i="1"/>
  <c r="AF86" i="1" s="1"/>
  <c r="AD142" i="1"/>
  <c r="AF142" i="1" s="1"/>
  <c r="AD91" i="1"/>
  <c r="AF91" i="1" s="1"/>
  <c r="AD279" i="1"/>
  <c r="AF279" i="1" s="1"/>
  <c r="AD53" i="1"/>
  <c r="AF53" i="1" s="1"/>
  <c r="Z54" i="1"/>
  <c r="AD66" i="1"/>
  <c r="AF66" i="1" s="1"/>
  <c r="AD55" i="1"/>
  <c r="AF55" i="1" s="1"/>
  <c r="AD65" i="1"/>
  <c r="AF65" i="1" s="1"/>
  <c r="AD72" i="1"/>
  <c r="AF72" i="1" s="1"/>
  <c r="AD52" i="1"/>
  <c r="AF52" i="1" s="1"/>
  <c r="AD63" i="1"/>
  <c r="AF63" i="1" s="1"/>
  <c r="AD56" i="1"/>
  <c r="AF56" i="1" s="1"/>
  <c r="AF176" i="1"/>
  <c r="AD50" i="1"/>
  <c r="AF50" i="1" s="1"/>
  <c r="AD40" i="1"/>
  <c r="AF40" i="1" s="1"/>
  <c r="AD41" i="1"/>
  <c r="AF41" i="1" s="1"/>
  <c r="AD49" i="1"/>
  <c r="AF49" i="1" s="1"/>
  <c r="AD39" i="1"/>
  <c r="AF39" i="1" s="1"/>
  <c r="AD43" i="1"/>
  <c r="AF43" i="1" s="1"/>
  <c r="AD42" i="1"/>
  <c r="AF42" i="1" s="1"/>
  <c r="Z44" i="1"/>
  <c r="AD48" i="1"/>
  <c r="AF48" i="1" s="1"/>
  <c r="AD21" i="1"/>
  <c r="AF21" i="1" s="1"/>
  <c r="AD20" i="1"/>
  <c r="AF20" i="1" s="1"/>
  <c r="AD18" i="1"/>
  <c r="AF18" i="1" s="1"/>
  <c r="AD46" i="1"/>
  <c r="AF46" i="1" s="1"/>
  <c r="AD38" i="1"/>
  <c r="AF38" i="1" s="1"/>
  <c r="AD47" i="1"/>
  <c r="AF47" i="1" s="1"/>
  <c r="AD37" i="1"/>
  <c r="AF37" i="1" s="1"/>
  <c r="AF246" i="1"/>
  <c r="AD45" i="1"/>
  <c r="AF45" i="1" s="1"/>
  <c r="AD222" i="1"/>
  <c r="AF222" i="1" s="1"/>
  <c r="AD235" i="1"/>
  <c r="AF235" i="1" s="1"/>
  <c r="AF122" i="1" l="1"/>
  <c r="AF118" i="1"/>
  <c r="AF119" i="1"/>
  <c r="AF116" i="1"/>
  <c r="AF120" i="1"/>
  <c r="AF121" i="1"/>
  <c r="AF126" i="1"/>
  <c r="AF124" i="1"/>
  <c r="AF113" i="1"/>
  <c r="R316" i="1"/>
  <c r="R317" i="1" s="1"/>
  <c r="R318" i="1" s="1"/>
  <c r="S316" i="1"/>
  <c r="S317" i="1" s="1"/>
  <c r="S318" i="1" s="1"/>
  <c r="S320" i="1" s="1"/>
  <c r="Q316" i="1"/>
  <c r="Q317" i="1" s="1"/>
  <c r="Q318" i="1" s="1"/>
  <c r="Q320" i="1" s="1"/>
  <c r="P316" i="1"/>
  <c r="Z61" i="1"/>
  <c r="Z36" i="1"/>
  <c r="Z11" i="1"/>
  <c r="Z76" i="1"/>
  <c r="AD83" i="1"/>
  <c r="AF83" i="1" s="1"/>
  <c r="AD77" i="1"/>
  <c r="AF77" i="1" s="1"/>
  <c r="AD79" i="1"/>
  <c r="AF79" i="1" s="1"/>
  <c r="AD88" i="1"/>
  <c r="AF88" i="1" s="1"/>
  <c r="AD69" i="1"/>
  <c r="AF69" i="1" s="1"/>
  <c r="AD54" i="1"/>
  <c r="AF54" i="1" s="1"/>
  <c r="AD51" i="1"/>
  <c r="AF51" i="1" s="1"/>
  <c r="AD61" i="1"/>
  <c r="AF61" i="1" s="1"/>
  <c r="AD12" i="1"/>
  <c r="AF12" i="1" s="1"/>
  <c r="AD11" i="1"/>
  <c r="AF11" i="1" s="1"/>
  <c r="AD36" i="1"/>
  <c r="AF36" i="1" s="1"/>
  <c r="AD44" i="1"/>
  <c r="AF44" i="1" s="1"/>
  <c r="R320" i="1" l="1"/>
  <c r="R331" i="1" s="1"/>
  <c r="Q331" i="1"/>
  <c r="S331" i="1"/>
  <c r="P317" i="1"/>
  <c r="Z58" i="1"/>
  <c r="Z33" i="1"/>
  <c r="AD76" i="1"/>
  <c r="AF76" i="1" s="1"/>
  <c r="AD58" i="1"/>
  <c r="AF58" i="1" s="1"/>
  <c r="AD33" i="1"/>
  <c r="AF33" i="1" s="1"/>
  <c r="Z313" i="1" l="1"/>
  <c r="P318" i="1"/>
  <c r="P320" i="1" l="1"/>
  <c r="AD150" i="1"/>
  <c r="AF150" i="1" s="1"/>
  <c r="P331" i="1" l="1"/>
  <c r="P321" i="1"/>
  <c r="Q321" i="1" s="1"/>
  <c r="AD127" i="1"/>
  <c r="AD128" i="1"/>
  <c r="AD234" i="1"/>
  <c r="AF234" i="1" s="1"/>
  <c r="AD257" i="1"/>
  <c r="AF257" i="1" s="1"/>
  <c r="AD205" i="1"/>
  <c r="AF205" i="1" s="1"/>
  <c r="AD200" i="1"/>
  <c r="AF200" i="1" s="1"/>
  <c r="AD166" i="1"/>
  <c r="AF166" i="1" s="1"/>
  <c r="R321" i="1" l="1"/>
  <c r="S321" i="1" s="1"/>
  <c r="AF128" i="1"/>
  <c r="AF127" i="1"/>
  <c r="AD98" i="1"/>
  <c r="AF98" i="1" s="1"/>
  <c r="AD307" i="1"/>
  <c r="AF307" i="1" s="1"/>
  <c r="AD309" i="1"/>
  <c r="AF309" i="1" s="1"/>
  <c r="AD278" i="1"/>
  <c r="AF278" i="1" s="1"/>
  <c r="AD141" i="1"/>
  <c r="AF141" i="1" s="1"/>
  <c r="AD123" i="1"/>
  <c r="AD219" i="1"/>
  <c r="AF219" i="1" s="1"/>
  <c r="AF123" i="1" l="1"/>
  <c r="AD117" i="1"/>
  <c r="AD262" i="1"/>
  <c r="AF262" i="1" s="1"/>
  <c r="AD263" i="1"/>
  <c r="AF263" i="1" s="1"/>
  <c r="AD297" i="1"/>
  <c r="AF297" i="1" s="1"/>
  <c r="AD160" i="1"/>
  <c r="AF160" i="1" s="1"/>
  <c r="AD111" i="1"/>
  <c r="AD294" i="1"/>
  <c r="AF294" i="1" s="1"/>
  <c r="AD154" i="1"/>
  <c r="AF154" i="1" s="1"/>
  <c r="AF117" i="1" l="1"/>
  <c r="AF111" i="1"/>
  <c r="AD214" i="1"/>
  <c r="AF214" i="1" s="1"/>
  <c r="AD169" i="1"/>
  <c r="AF169" i="1" s="1"/>
  <c r="AD109" i="1"/>
  <c r="AF109" i="1" s="1"/>
  <c r="AD114" i="1"/>
  <c r="AD115" i="1"/>
  <c r="AD157" i="1"/>
  <c r="AF157" i="1" s="1"/>
  <c r="AD173" i="1"/>
  <c r="AF173" i="1" s="1"/>
  <c r="AD191" i="1"/>
  <c r="AF191" i="1" s="1"/>
  <c r="AD196" i="1"/>
  <c r="AF196" i="1" s="1"/>
  <c r="AF115" i="1" l="1"/>
  <c r="AF114" i="1"/>
  <c r="AD193" i="1"/>
  <c r="AF193" i="1" s="1"/>
  <c r="AD187" i="1"/>
  <c r="AF187" i="1" s="1"/>
  <c r="AD147" i="1"/>
  <c r="AF147" i="1" s="1"/>
  <c r="AD138" i="1" l="1"/>
  <c r="AF138" i="1" s="1"/>
  <c r="AD186" i="1"/>
  <c r="AD190" i="1"/>
  <c r="AF190" i="1" s="1"/>
  <c r="AF186" i="1" l="1"/>
  <c r="AD137" i="1"/>
  <c r="AF137" i="1" s="1"/>
  <c r="AD106" i="1" l="1"/>
  <c r="AF106" i="1" s="1"/>
  <c r="T104" i="1"/>
  <c r="AD104" i="1" s="1"/>
  <c r="AF104" i="1" s="1"/>
  <c r="T95" i="1" l="1"/>
  <c r="AD95" i="1" s="1"/>
  <c r="AF95" i="1" l="1"/>
  <c r="AD313" i="1"/>
  <c r="Z281" i="1"/>
  <c r="AD281" i="1"/>
  <c r="AF281" i="1" s="1"/>
  <c r="T280" i="1"/>
  <c r="AD280" i="1" s="1"/>
  <c r="T313" i="1" l="1"/>
  <c r="T315" i="1" s="1"/>
  <c r="AC315" i="1" s="1"/>
  <c r="AF313" i="1"/>
  <c r="AF280" i="1"/>
  <c r="Z280" i="1"/>
  <c r="AC313" i="1" l="1"/>
  <c r="T314" i="1"/>
  <c r="AC314" i="1" s="1"/>
  <c r="Z314" i="1"/>
  <c r="AI313" i="1"/>
  <c r="Z315" i="1"/>
  <c r="AL313" i="1"/>
  <c r="AD315" i="1"/>
  <c r="AF315" i="1" s="1"/>
  <c r="AD314" i="1"/>
  <c r="AF314" i="1" s="1"/>
  <c r="T316" i="1" l="1"/>
  <c r="T317" i="1" s="1"/>
  <c r="AC317" i="1" s="1"/>
  <c r="Z316" i="1"/>
  <c r="Z317" i="1" s="1"/>
  <c r="Z318" i="1" s="1"/>
  <c r="AD316" i="1"/>
  <c r="AD317" i="1" s="1"/>
  <c r="AF317" i="1" s="1"/>
  <c r="AL315" i="1"/>
  <c r="AI315" i="1"/>
  <c r="AI314" i="1"/>
  <c r="AL314" i="1"/>
  <c r="AC316" i="1" l="1"/>
  <c r="AI316" i="1"/>
  <c r="T318" i="1"/>
  <c r="T320" i="1" s="1"/>
  <c r="AD320" i="1" s="1"/>
  <c r="AL316" i="1"/>
  <c r="AD318" i="1"/>
  <c r="AF318" i="1" s="1"/>
  <c r="AF316" i="1"/>
  <c r="Z320" i="1"/>
  <c r="AI318" i="1"/>
  <c r="AL317" i="1"/>
  <c r="AI317" i="1"/>
  <c r="T321" i="1" l="1"/>
  <c r="U321" i="1" s="1"/>
  <c r="V321" i="1" s="1"/>
  <c r="W321" i="1" s="1"/>
  <c r="X321" i="1" s="1"/>
  <c r="Y321" i="1" s="1"/>
  <c r="AL318" i="1"/>
  <c r="AC318" i="1"/>
  <c r="T331" i="1"/>
</calcChain>
</file>

<file path=xl/sharedStrings.xml><?xml version="1.0" encoding="utf-8"?>
<sst xmlns="http://schemas.openxmlformats.org/spreadsheetml/2006/main" count="912" uniqueCount="630">
  <si>
    <t>DPTO: ICA  PROV: ICA  DIST: ICA</t>
  </si>
  <si>
    <t>Item</t>
  </si>
  <si>
    <t>Descripción</t>
  </si>
  <si>
    <t>Unid.</t>
  </si>
  <si>
    <t>Cantidad</t>
  </si>
  <si>
    <t>Precio</t>
  </si>
  <si>
    <t>Parcial</t>
  </si>
  <si>
    <t>Del 01/05/2025</t>
  </si>
  <si>
    <t>Del 01/06/2025</t>
  </si>
  <si>
    <t>Del 01/07/2025</t>
  </si>
  <si>
    <t>Del 01/08/2025</t>
  </si>
  <si>
    <t>Del 01/09/2025</t>
  </si>
  <si>
    <t>Del 01/10/2025</t>
  </si>
  <si>
    <t>Del 01/11/2025</t>
  </si>
  <si>
    <t>Al 30/04/2025</t>
  </si>
  <si>
    <t>Al 31/05/2025</t>
  </si>
  <si>
    <t>Al 30/06/2025</t>
  </si>
  <si>
    <t>Al 31/07/2025</t>
  </si>
  <si>
    <t>Al 31/08/2025</t>
  </si>
  <si>
    <t>Al 30/09/2025</t>
  </si>
  <si>
    <t>Al 31/10/2025</t>
  </si>
  <si>
    <t>OBRAS PROVISIONALES Y PRELIMINARES</t>
  </si>
  <si>
    <t>OBRAS PROVISIONALES</t>
  </si>
  <si>
    <t>MOVILIZACION  Y DESMOVILIZACION  DE EQUIPOS  Y HERRAMIENTAS</t>
  </si>
  <si>
    <t>glb</t>
  </si>
  <si>
    <t>ALQUILER DE PATIO DE MAQUINAS</t>
  </si>
  <si>
    <t>mes</t>
  </si>
  <si>
    <t>OFC. PERSONAL CLAVE Y ADMINISTRATIVO, CASETA DE COMEDOR Y VIGILANCIA</t>
  </si>
  <si>
    <t>m²</t>
  </si>
  <si>
    <t>ALQUILER DE LAVADEROS Y SS.HH P/ INST. OFC.</t>
  </si>
  <si>
    <t>CARTEL DE OBRA DE 3.60 X  2.40</t>
  </si>
  <si>
    <t>MALLA  DE SEGURIDAD</t>
  </si>
  <si>
    <t>m</t>
  </si>
  <si>
    <t>FLETE TERRESTRE PARA LA OBRA</t>
  </si>
  <si>
    <t>TRABAJOS  PRELIMINARES</t>
  </si>
  <si>
    <t>LIMPIEZA ANTES, DURANTE Y DESPUES DE LA OBRA</t>
  </si>
  <si>
    <t>TALA Y RETIRO DE ARBOLES MAYORES DE 4M Y ELIMINACION DE RAICES</t>
  </si>
  <si>
    <t>u</t>
  </si>
  <si>
    <t>TALA Y RETIRO DE ARBOLES MENORES DE 4M Y ELIMINACION DE RAICES</t>
  </si>
  <si>
    <t>ELIMINACION DE MALEZA Y GRASS DE FACIL  EXTRACCION</t>
  </si>
  <si>
    <t>RETIRO DE LETREROS MAYORES A 5 METROS</t>
  </si>
  <si>
    <t>RETIRO DE LETREROS MENORES A 5 METROS</t>
  </si>
  <si>
    <t>DEMOLICION DE VEREDAS, MARTILLOS,LOSAS Y RAMPAS DE CONCRETO EXISTENTE</t>
  </si>
  <si>
    <t>DEMOLICIÓN DE SARDINELES SUMERGIDO DE CONCRETO, H promedio = 0.15 m</t>
  </si>
  <si>
    <t>DEMOLICIÓN DE SARDINELES DE CONCRETO, H promedio = 0.35 m</t>
  </si>
  <si>
    <t>DEMOLICION DE PAVIMENTO ASFALTICO</t>
  </si>
  <si>
    <t>ACARREO  MATERIAL EXCEDENTE</t>
  </si>
  <si>
    <t>m³</t>
  </si>
  <si>
    <t>ELIMINACION DE MATERIAL PROCEDENTE DE DEMOLICION</t>
  </si>
  <si>
    <t>VEREDAS</t>
  </si>
  <si>
    <t>TRAZO NIVELACION  Y REPLANTEO</t>
  </si>
  <si>
    <t>MOVIMIENTO DE TIERRA</t>
  </si>
  <si>
    <t>CORTE SUPERFICIAL MANUAL</t>
  </si>
  <si>
    <t>EXCAVACION MANUAL PARA UÑAS EN VEREDAS</t>
  </si>
  <si>
    <t>PERFILADO Y COMPACTADO DE SUB RASANTE EN VEREDAS</t>
  </si>
  <si>
    <t>ELIMINACION DE MATERIAL EXCEDENTE CON EQUIPO</t>
  </si>
  <si>
    <t>BASES GRANULAR</t>
  </si>
  <si>
    <t>CONFORMACION Y COMPACTACION DE BASE GRANULAR E=0.15M</t>
  </si>
  <si>
    <t>VEREDAS DE CONCRETO</t>
  </si>
  <si>
    <t>ENCOFRADO Y DESENC. PARA VEREDAS</t>
  </si>
  <si>
    <t>VEREDAS DE CONCRETO F'C =175 KG/CM2, E= 0.10M</t>
  </si>
  <si>
    <t>UÑAS DE VEREDAS DE CONCRETO F'C =175 KG/CM2</t>
  </si>
  <si>
    <t>ACABADO PULIDO</t>
  </si>
  <si>
    <t>BRUÑAS SEGUN DETALLE</t>
  </si>
  <si>
    <t>CURADO DE VEREDAS</t>
  </si>
  <si>
    <t>JUNTAS</t>
  </si>
  <si>
    <t>LIMPIEZA SUPERFICIE DE JUNTAS</t>
  </si>
  <si>
    <t>OTROS</t>
  </si>
  <si>
    <t>REPOSICION Y NIVELACION DE CAJA DE REGISTRO PARA DESAGUE</t>
  </si>
  <si>
    <t>REPOSICION Y NIVELACION DE CAJA DE AGUA</t>
  </si>
  <si>
    <t>RETIRO Y REPOSICION DE MURETES DE MEDIDORES</t>
  </si>
  <si>
    <t>MARTILLO Y RAMPAS</t>
  </si>
  <si>
    <t>MOVIMIENTO DE TIERRAS</t>
  </si>
  <si>
    <t>EXCAVACION MANUAL PARA UÑAS EN   MARTILLOS</t>
  </si>
  <si>
    <t>PERFILADO Y COMPACTADO DE SUB RASANTE EN MARTILLOS Y RAMPAS</t>
  </si>
  <si>
    <t>CONCRETO SIMPLE</t>
  </si>
  <si>
    <t>ENCOFRADO Y DESENCOFRADO NORMAL PARA MARTILLOS</t>
  </si>
  <si>
    <t>MARTILLOS Y RAMPAS CONCRETO FC=175KG/CM2</t>
  </si>
  <si>
    <t>CONCRETO DE UÑAS DE MARTILLOS FC=175KG/CM2</t>
  </si>
  <si>
    <t>CURADO DE MARTILLOS Y RAMPAS</t>
  </si>
  <si>
    <t>SARDINELES PERALTADOS</t>
  </si>
  <si>
    <t>TRAZO NIVELACION Y REPLANTEO DE SARDINELES PERALTADOS</t>
  </si>
  <si>
    <t>EXCAVACION MANUAL DE TERRENO PARA  SARDINELES</t>
  </si>
  <si>
    <t>CONCRETO SIMPLE DE SARDINEL PERALTADO</t>
  </si>
  <si>
    <t>ENCOFRADO Y DESENCOFRADO SARDINELES PERALTADOS</t>
  </si>
  <si>
    <t>ACERO FY= 4200 kg/cm2, EN SARDINELES PERALTADOS</t>
  </si>
  <si>
    <t>kg</t>
  </si>
  <si>
    <t>CURADO DE SARDINEL PERALTADO</t>
  </si>
  <si>
    <t>ACABADOS</t>
  </si>
  <si>
    <t>VESTIDURA DE DERRAMES CON BORDES BOLEADOS</t>
  </si>
  <si>
    <t>SARDINELES SUMERGIDOS</t>
  </si>
  <si>
    <t>TRAZO Y REPLANTEO PARA SARDINELES SUMERGIDOS</t>
  </si>
  <si>
    <t>EXCAVACION EN LADO DEL SARDINEL SUMERGIDO PARA ENCOFRADO</t>
  </si>
  <si>
    <t>RELLENO DE TERRENO NATURAL EN LADO DEL JARDIN</t>
  </si>
  <si>
    <t>ELIMINACION DE MATERIAL EXCEDENTE MAQUINA</t>
  </si>
  <si>
    <t>CONCRETO DE SARDINEL SUMERGIDOS</t>
  </si>
  <si>
    <t>ENCOFRADO Y DESENCOFRADO DE SARDINEL SUMERGIDO</t>
  </si>
  <si>
    <t>CONCRETO EN SARDINEL F'C=175 KG/CM2</t>
  </si>
  <si>
    <t>ACERO FY= 4200 kg/cm2, EN SARDINELES SUMERGIDOS</t>
  </si>
  <si>
    <t>CURADO DE SARDINEL SUMERGIDO</t>
  </si>
  <si>
    <t>ADOQUINES</t>
  </si>
  <si>
    <t>TRAZO Y REPLANTEO DE ADOQUINES</t>
  </si>
  <si>
    <t>CONFORMACION DE BASE GRANULAR PARA ADOQUIN E=0.20</t>
  </si>
  <si>
    <t>CAMA DE ARENA GRUESA DE 2''</t>
  </si>
  <si>
    <t>REVESTIMIENTO DE PISO CON ADOQUINES DE CONCRETO COLOR ROJO</t>
  </si>
  <si>
    <t>REVESTIMIENTO DE PISO CON ADOQUINES DE CONCRETO COLOR PLOMO</t>
  </si>
  <si>
    <t>SELLADO DE JUNTAS DE ADOQUIN CON ARENA</t>
  </si>
  <si>
    <t>AREAS VERDES</t>
  </si>
  <si>
    <t>SUMINISTRO E INSTALACION DE AREAS VERDES</t>
  </si>
  <si>
    <t>SUMINISTRO E INSTALACION DE TIERRA DE CHACRA</t>
  </si>
  <si>
    <t>COLOCACION DE BLOCK GRASS</t>
  </si>
  <si>
    <t>SUMINISTRO E INSTALACION DE GRASS NATURAL</t>
  </si>
  <si>
    <t>SEMBRADO DE PALMERAS INCL. SUMIN. Y COLOCACION</t>
  </si>
  <si>
    <t>PAVIMENTACIÓN</t>
  </si>
  <si>
    <t>TRAMO I</t>
  </si>
  <si>
    <t>OBRAS PRELIMINARES</t>
  </si>
  <si>
    <t>TRAZO Y REPLANTEO</t>
  </si>
  <si>
    <t>CORTE DE MATERIAL SUELTO C/MAQUINARIA PARA PAVIMENTACION</t>
  </si>
  <si>
    <t>PERFILADO Y COMPACTADO DE SUBRASANTE DE PAVIMENTOS</t>
  </si>
  <si>
    <t>MEJORAMIENTO DE SUBRASANTE E=0.10M (over max 4")</t>
  </si>
  <si>
    <t>TERRAPLENES CON MATERIAL DE CANTERA</t>
  </si>
  <si>
    <t>SUB BASES Y BASES</t>
  </si>
  <si>
    <t>BASE GRANULAR E=0.20M</t>
  </si>
  <si>
    <t>PAVIMENTOS</t>
  </si>
  <si>
    <t>IMPRIMACION ASFALTICA</t>
  </si>
  <si>
    <t>NIVELACION DE LOSA Y TAPA DE BUZON  DE CONCRETO</t>
  </si>
  <si>
    <t>TRAMO II</t>
  </si>
  <si>
    <t>MEJORAMIENTO DE SUBRASANTE E=0.15M (over max. 4")</t>
  </si>
  <si>
    <t>BASE GRANULAR  E=20 m</t>
  </si>
  <si>
    <t>SEÑALIZACION VIAL Y SEMAFORIZACION</t>
  </si>
  <si>
    <t>SEÑALIZACION VIAL</t>
  </si>
  <si>
    <t>SEÑAL INFORMATIVA</t>
  </si>
  <si>
    <t>SEÑAL PREVENTIVA</t>
  </si>
  <si>
    <t>SEÑAL REGLAMENTARIA</t>
  </si>
  <si>
    <t>POSTE DE SOPORTE PARA SEÑALES</t>
  </si>
  <si>
    <t>MARCAS EN EL PAVIMENTO</t>
  </si>
  <si>
    <t>PINTURA DE TRAFICO CONTINUA Y DISCONTINUA</t>
  </si>
  <si>
    <t>PINTADO DE RAMPAS PARA DISCAPACITADOS</t>
  </si>
  <si>
    <t>REDUCTOR DE CAUCHO</t>
  </si>
  <si>
    <t>INSTALACIONES ELECTRICAS</t>
  </si>
  <si>
    <t>PRELIMINARES</t>
  </si>
  <si>
    <t>REUBICACION DE POSTES DE MEDIA TENSION</t>
  </si>
  <si>
    <t>REUBICACION DE POSTES DE BAJA TENSION</t>
  </si>
  <si>
    <t>SEMAFORIZACION</t>
  </si>
  <si>
    <t>EXCAVACION MANUAL DE ZANJAS</t>
  </si>
  <si>
    <t>ELIMINACIÓN DE MATERIAL EXCEDENTE</t>
  </si>
  <si>
    <t>CONCRETO ARMADO</t>
  </si>
  <si>
    <t>ENCOFRADO Y DESENCOFRADO P/BASES EN SEMÁFOROS</t>
  </si>
  <si>
    <t>ACERO DE REFUERZO Fy=4200 GRADO 60 EN SEMAFOROS</t>
  </si>
  <si>
    <t>SUMINISTRO E INSTALACIÓN DE ESTRUCTURA METÁLICA</t>
  </si>
  <si>
    <t>SUMNISTRO E INSTALACION DE ESTRUCTURA METALICA Y ACCES PARA SEMÁFORO VEHICULAR TIPO SEMIPORTICO O BANDERA</t>
  </si>
  <si>
    <t>POSTE PARA SEMAFORO (L=6.00M.)</t>
  </si>
  <si>
    <t>POSTE PARA SEMAFORO PEATONAL (L=4M)</t>
  </si>
  <si>
    <t>PORTICO PARA SEMAFORO (L=30M)</t>
  </si>
  <si>
    <t>SUMINISTRO E INSTALACIÓN DE CABLES ELÉCTRICOS PARA SEMAFORIZACION</t>
  </si>
  <si>
    <t>SUMINISTRO E INSTALACIÓN DE CABLE DE CONTROL DE 4x1.5mm2</t>
  </si>
  <si>
    <t>SUMINISTRO E INSTALACIÓN DE CABLE DE CONTROL DE 3x1.5mn2</t>
  </si>
  <si>
    <t>SUMINISTRO E INSTALA CABLE DE ACOMETIDA 2x4 MM2</t>
  </si>
  <si>
    <t>SUMINISTRO E INSTALA CABLE ELECTRICO 1X10 MM2 TW</t>
  </si>
  <si>
    <t>CAJA DE PASE TIPO CE-2</t>
  </si>
  <si>
    <t>CANALIZACIÓN PARA LAS INSTALACIONES ELÉCTRICAS Ø 3"</t>
  </si>
  <si>
    <t>SISTEMA DE PUESTA A TIERRA</t>
  </si>
  <si>
    <t>SUMINISTRO DE EE.EE. (INC. MURETE)</t>
  </si>
  <si>
    <t>SUMINISTRO E INSTALACION DE SEMAFORO</t>
  </si>
  <si>
    <t>CONTROLADOR DE TRÁFICO (SUMINISTRO E INSTALACIÓN).</t>
  </si>
  <si>
    <t>SEMÁFORO ADOSADO VEHICULAR IC-3L CON LED´S</t>
  </si>
  <si>
    <t>SEMAFORO PEATONAL 1C-2L CON LED'S</t>
  </si>
  <si>
    <t>SEMAFORO LED CONTADOR HORARIO 300 mm ADOSADO O SUSPENDIDO (SUMINISTRO E INSTALACION)</t>
  </si>
  <si>
    <t>VARIOS</t>
  </si>
  <si>
    <t>DUCTO DE CONCRETO</t>
  </si>
  <si>
    <t>BLOQUE DE CONCRETO CONTRA IMPACTO</t>
  </si>
  <si>
    <t>PANELES SOLARES</t>
  </si>
  <si>
    <t>ACARREO DE MATERIAL EXCEDENTE</t>
  </si>
  <si>
    <t>SUMINISTRO E INSTALACION DE TUBERIAS Y PANELES SOLARES</t>
  </si>
  <si>
    <t>COLOCACIÓN DE CAMA DE ARENA</t>
  </si>
  <si>
    <t>SUMINISTRO E INSTALACIÓN DE TUBERIA PVC Ø 2"-P</t>
  </si>
  <si>
    <t>COLOCACIÓN Y COMPACTACIÓN CON MATERIAL PROPIO</t>
  </si>
  <si>
    <t>COLOCACIÓN DE CAJA DE PASE</t>
  </si>
  <si>
    <t>SUMINISTRO E INSTALACIÓN DE POSTE LUMINARIA CON PANELES SOLARES</t>
  </si>
  <si>
    <t>MOBILIARIO URBANO</t>
  </si>
  <si>
    <t>TACHOS DE BASURA</t>
  </si>
  <si>
    <t>EXCAVACION MANUAL</t>
  </si>
  <si>
    <t>ELIMINACION DE MATERIAL EXCEDENTE</t>
  </si>
  <si>
    <t>CONCRETO  F"C=175  KG/CM2 PARA LOSAS DE FONDO - PISO</t>
  </si>
  <si>
    <t>ENCOFRADO Y DESENCOFRADO LOSA</t>
  </si>
  <si>
    <t>CURADO DE LOSA DE CONCRETO</t>
  </si>
  <si>
    <t>ACABADO PULIDO e=1cm</t>
  </si>
  <si>
    <t>SUMINISTRO E INSTALACION DE TACHOS DE BASURA</t>
  </si>
  <si>
    <t>BANCAS DE MADERA</t>
  </si>
  <si>
    <t>SUMINISTRO E INSTALACION DE BANCAS</t>
  </si>
  <si>
    <t>SUMIISTRO Y COLOCACION DE BOLARDOS</t>
  </si>
  <si>
    <t>SUMINISTRO Y COLOCACIO DE BOLARDOS</t>
  </si>
  <si>
    <t>SUMINISTRO E INSTALACION DE TACHAS REFLECTIVAS BIDIRECCIONALES</t>
  </si>
  <si>
    <t>SUMINISTRO E INSTALACIONES DE TACHAS REFLECTIVAS BIDIRECCIONALES</t>
  </si>
  <si>
    <t>SUMINISTRO E INSTALACION DE MINIGIMNASIO</t>
  </si>
  <si>
    <t>GUARDAVIA</t>
  </si>
  <si>
    <t>SUMINISTRO E INSTALACION DE GUARDAVIA</t>
  </si>
  <si>
    <t>PLAN DE SEGURIDAD Y SALUD EN EL TRABAJO</t>
  </si>
  <si>
    <t>ELABORACION DE PLAN DE SEGURIDAD Y SALUD</t>
  </si>
  <si>
    <t>EQUIPO DE PROTECCION INDIVIDUAL</t>
  </si>
  <si>
    <t>PLAN DE MANEJO AMBIENTAL</t>
  </si>
  <si>
    <t>MANEJO DE EFLUENTE Y RESIDUOS SOLIDOS</t>
  </si>
  <si>
    <t>ALQUILER DE BAÑOS QUIMICOS</t>
  </si>
  <si>
    <t>CONTENEDOR DE RESIDUOS SOLIDO NO PELIGROSO</t>
  </si>
  <si>
    <t>PLAN DE SEÑALIZACION</t>
  </si>
  <si>
    <t>SEÑALIZACION TEMPORAL DE PLAN AMBIENTAL Y SEGURIDAD</t>
  </si>
  <si>
    <t>PLAN DE AREAS AUXILIARES</t>
  </si>
  <si>
    <t>RIEGO PARA MITIGACION DEL POLVO</t>
  </si>
  <si>
    <t>PLAN DE ASUNTOS AMBIENTALES</t>
  </si>
  <si>
    <t>CAPACITACION DIRIGIDA A LOS TRABAJADORES SOBRE EDUCACION AMBIENTAL</t>
  </si>
  <si>
    <t>PLAN DE MONITOREO AMBIENTAL</t>
  </si>
  <si>
    <t>MONITOREO DE LA CALIDAD DE RUIDO AMBIENTAL</t>
  </si>
  <si>
    <t>pto</t>
  </si>
  <si>
    <t>MONITOREO DE LA CALIDAD DEL AIRE</t>
  </si>
  <si>
    <t>PLAN DE CONTINGENCIA</t>
  </si>
  <si>
    <t>RECURSO PARA RESPUESTA ANTE PLAN DE CONTIGENCIA</t>
  </si>
  <si>
    <t>PLAN DE DESVIO VEHICULAR</t>
  </si>
  <si>
    <t>TRATAMIENTO SUPERFICIAL DOBLE DE VIAS ALTERNAS</t>
  </si>
  <si>
    <t>CORTE DE MATERIAL SUELTO C/MAQUINARIA P/TRATAMIENTO VIAL</t>
  </si>
  <si>
    <t>PERFILADO Y COMPACTACION DE VIAS ALTERNAS</t>
  </si>
  <si>
    <t>MARCA EN EL PAVIMENTO</t>
  </si>
  <si>
    <t>DESVIO VEHICULAR</t>
  </si>
  <si>
    <t>MANTENIMIENTO DE TRANSITO PERMANENTE</t>
  </si>
  <si>
    <t>d</t>
  </si>
  <si>
    <t>PLAN DE MONITOREO ARQUEOLOGICO</t>
  </si>
  <si>
    <t>Costo directo:</t>
  </si>
  <si>
    <t>Gastos Generales (10.00%)</t>
  </si>
  <si>
    <t>Utilidad (7.00%)</t>
  </si>
  <si>
    <t>I.G.V.(18.00%)</t>
  </si>
  <si>
    <t>TOTAL</t>
  </si>
  <si>
    <t>Porcentaje de avance acumulado</t>
  </si>
  <si>
    <t>Porcentaje de avance por mes</t>
  </si>
  <si>
    <t>OBRA:</t>
  </si>
  <si>
    <t>UBICACIÓN:</t>
  </si>
  <si>
    <t>ENTIDAD:</t>
  </si>
  <si>
    <t>MUNICIPALIDAD PROVINCIAL DE ICA</t>
  </si>
  <si>
    <t>PINTADO DE LAS CARA VISTA DEL SARDINEL PERALTADO</t>
  </si>
  <si>
    <t>CREACION DE LA CICLOVIA COMPRENDIDO ENTRE EL TRAMO AV.CUTERVO Y LA AV.HUACACHINA DEL DISTRITO DE ICA-ICA, CUI NRO 2264872</t>
  </si>
  <si>
    <t>01</t>
  </si>
  <si>
    <t>01.01</t>
  </si>
  <si>
    <t>01.01.01</t>
  </si>
  <si>
    <t>01.01.02</t>
  </si>
  <si>
    <t>01.01.03</t>
  </si>
  <si>
    <t>01.01.04</t>
  </si>
  <si>
    <t>01.01.05</t>
  </si>
  <si>
    <t>01.01.06</t>
  </si>
  <si>
    <t>01.01.07</t>
  </si>
  <si>
    <t>01.02</t>
  </si>
  <si>
    <t>01.02.01</t>
  </si>
  <si>
    <t>01.02.02</t>
  </si>
  <si>
    <t>01.02.03</t>
  </si>
  <si>
    <t>01.02.04</t>
  </si>
  <si>
    <t>01.02.05</t>
  </si>
  <si>
    <t>01.02.06</t>
  </si>
  <si>
    <t>01.02.07</t>
  </si>
  <si>
    <t>01.02.08</t>
  </si>
  <si>
    <t>01.02.09</t>
  </si>
  <si>
    <t>01.02.10</t>
  </si>
  <si>
    <t>01.02.11</t>
  </si>
  <si>
    <t>01.02.12</t>
  </si>
  <si>
    <t>02</t>
  </si>
  <si>
    <t>02.01</t>
  </si>
  <si>
    <t>02.01.01</t>
  </si>
  <si>
    <t>02.02</t>
  </si>
  <si>
    <t>02.02.01</t>
  </si>
  <si>
    <t>02.02.02</t>
  </si>
  <si>
    <t>02.02.03</t>
  </si>
  <si>
    <t>02.02.04</t>
  </si>
  <si>
    <t>02.02.05</t>
  </si>
  <si>
    <t>02.03</t>
  </si>
  <si>
    <t>02.03.01</t>
  </si>
  <si>
    <t>02.04</t>
  </si>
  <si>
    <t>02.04.01</t>
  </si>
  <si>
    <t>02.04.02</t>
  </si>
  <si>
    <t>02.04.03</t>
  </si>
  <si>
    <t>02.04.04</t>
  </si>
  <si>
    <t>02.04.05</t>
  </si>
  <si>
    <t>02.04.06</t>
  </si>
  <si>
    <t>02.05</t>
  </si>
  <si>
    <t>02.05.01</t>
  </si>
  <si>
    <t>02.05.02</t>
  </si>
  <si>
    <t>JUNTA DE DILATACION ASFÁLTICA e=1"</t>
  </si>
  <si>
    <t>02.06</t>
  </si>
  <si>
    <t>02.06.01</t>
  </si>
  <si>
    <t>02.06.02</t>
  </si>
  <si>
    <t>02.06.03</t>
  </si>
  <si>
    <t>03</t>
  </si>
  <si>
    <t>03.01</t>
  </si>
  <si>
    <t>03.01.01</t>
  </si>
  <si>
    <t>03.02</t>
  </si>
  <si>
    <t>03.02.01</t>
  </si>
  <si>
    <t>03.02.02</t>
  </si>
  <si>
    <t>03.02.03</t>
  </si>
  <si>
    <t>03.02.04</t>
  </si>
  <si>
    <t>03.02.05</t>
  </si>
  <si>
    <t>03.03</t>
  </si>
  <si>
    <t>03.03.01</t>
  </si>
  <si>
    <t>03.04</t>
  </si>
  <si>
    <t>03.04.01</t>
  </si>
  <si>
    <t>03.04.02</t>
  </si>
  <si>
    <t>03.04.03</t>
  </si>
  <si>
    <t>03.04.04</t>
  </si>
  <si>
    <t>03.04.05</t>
  </si>
  <si>
    <t>03.04.06</t>
  </si>
  <si>
    <t>04</t>
  </si>
  <si>
    <t>04.01</t>
  </si>
  <si>
    <t>04.01.01</t>
  </si>
  <si>
    <t>04.02</t>
  </si>
  <si>
    <t>04.02.01</t>
  </si>
  <si>
    <t>04.02.02</t>
  </si>
  <si>
    <t>04.02.03</t>
  </si>
  <si>
    <t>04.03</t>
  </si>
  <si>
    <t>04.03.01</t>
  </si>
  <si>
    <t>04.03.02</t>
  </si>
  <si>
    <t>CONCRETO F'C=210 KG/CM2 PARA SARDINELES PERALTADOS</t>
  </si>
  <si>
    <t>04.03.03</t>
  </si>
  <si>
    <t>04.03.04</t>
  </si>
  <si>
    <t>04.04</t>
  </si>
  <si>
    <t>04.04.01</t>
  </si>
  <si>
    <t>04.04.02</t>
  </si>
  <si>
    <t>04.04.03</t>
  </si>
  <si>
    <t>04.05</t>
  </si>
  <si>
    <t>04.05.01</t>
  </si>
  <si>
    <t>04.05.02</t>
  </si>
  <si>
    <t>05</t>
  </si>
  <si>
    <t>05.01</t>
  </si>
  <si>
    <t>05.01.01</t>
  </si>
  <si>
    <t>05.02</t>
  </si>
  <si>
    <t>05.02.01</t>
  </si>
  <si>
    <t>05.02.02</t>
  </si>
  <si>
    <t>05.02.03</t>
  </si>
  <si>
    <t>05.02.04</t>
  </si>
  <si>
    <t>05.02.05</t>
  </si>
  <si>
    <t>05.03</t>
  </si>
  <si>
    <t>05.03.01</t>
  </si>
  <si>
    <t>05.03.02</t>
  </si>
  <si>
    <t>05.03.03</t>
  </si>
  <si>
    <t>05.03.04</t>
  </si>
  <si>
    <t>05.04</t>
  </si>
  <si>
    <t>05.04.01</t>
  </si>
  <si>
    <t>05.05</t>
  </si>
  <si>
    <t>05.05.01</t>
  </si>
  <si>
    <t>05.05.02</t>
  </si>
  <si>
    <t>06</t>
  </si>
  <si>
    <t>06.01</t>
  </si>
  <si>
    <t>06.01.01</t>
  </si>
  <si>
    <t>06.02</t>
  </si>
  <si>
    <t>06.02.01</t>
  </si>
  <si>
    <t>06.02.02</t>
  </si>
  <si>
    <t>06.02.03</t>
  </si>
  <si>
    <t>06.02.04</t>
  </si>
  <si>
    <t>06.02.05</t>
  </si>
  <si>
    <t>06.03</t>
  </si>
  <si>
    <t>06.03.01</t>
  </si>
  <si>
    <t>06.03.02</t>
  </si>
  <si>
    <t>06.03.03</t>
  </si>
  <si>
    <t>07</t>
  </si>
  <si>
    <t>07.01</t>
  </si>
  <si>
    <t>07.01.01</t>
  </si>
  <si>
    <t>07.01.02</t>
  </si>
  <si>
    <t>07.01.03</t>
  </si>
  <si>
    <t>07.01.04</t>
  </si>
  <si>
    <t>07.01.05</t>
  </si>
  <si>
    <t>07.01.06</t>
  </si>
  <si>
    <t>07.01.07</t>
  </si>
  <si>
    <t>CONFORMACION DE BASE GRANULAR PARA BLOCK GRASS E=0.20</t>
  </si>
  <si>
    <t>07.01.08</t>
  </si>
  <si>
    <t>CAMA DE ARENA GRUESA E= 3 cm</t>
  </si>
  <si>
    <t>08</t>
  </si>
  <si>
    <t>08.01</t>
  </si>
  <si>
    <t>08.01.01</t>
  </si>
  <si>
    <t>08.01.01.01</t>
  </si>
  <si>
    <t>08.01.02</t>
  </si>
  <si>
    <t>08.01.02.01</t>
  </si>
  <si>
    <t>08.01.02.02</t>
  </si>
  <si>
    <t>08.01.02.03</t>
  </si>
  <si>
    <t>08.01.02.04</t>
  </si>
  <si>
    <t>08.01.02.05</t>
  </si>
  <si>
    <t>08.01.03</t>
  </si>
  <si>
    <t>08.01.03.01</t>
  </si>
  <si>
    <t>SUB BASE GRANULA E=0.26M</t>
  </si>
  <si>
    <t>08.01.03.02</t>
  </si>
  <si>
    <t>08.01.04</t>
  </si>
  <si>
    <t>08.01.04.01</t>
  </si>
  <si>
    <t>08.01.04.02</t>
  </si>
  <si>
    <t>CARPETA ASFALTICA EN CALIENTE E= 3''</t>
  </si>
  <si>
    <t>08.01.04.03</t>
  </si>
  <si>
    <t>SELLADO ASFÁLTICO</t>
  </si>
  <si>
    <t>08.01.05</t>
  </si>
  <si>
    <t>08.01.05.01</t>
  </si>
  <si>
    <t>08.01.05.02</t>
  </si>
  <si>
    <t>ACERO DE REFUERZO F'Y=4200 KG/CM2 EN LOSA DE TECHO DE BUZON</t>
  </si>
  <si>
    <t>08.02</t>
  </si>
  <si>
    <t>08.02.01</t>
  </si>
  <si>
    <t>08.02.01.01</t>
  </si>
  <si>
    <t>08.02.02</t>
  </si>
  <si>
    <t>08.02.02.01</t>
  </si>
  <si>
    <t>08.02.02.02</t>
  </si>
  <si>
    <t>08.02.02.03</t>
  </si>
  <si>
    <t>08.02.02.04</t>
  </si>
  <si>
    <t>08.02.02.05</t>
  </si>
  <si>
    <t>08.02.03</t>
  </si>
  <si>
    <t>08.02.03.01</t>
  </si>
  <si>
    <t>SUB BASE GRANULAR E=0.26M</t>
  </si>
  <si>
    <t>08.02.03.02</t>
  </si>
  <si>
    <t>08.02.04</t>
  </si>
  <si>
    <t>08.02.04.01</t>
  </si>
  <si>
    <t>08.02.04.02</t>
  </si>
  <si>
    <t>08.02.04.03</t>
  </si>
  <si>
    <t>08.02.05</t>
  </si>
  <si>
    <t>08.02.05.01</t>
  </si>
  <si>
    <t>08.02.05.02</t>
  </si>
  <si>
    <t>09</t>
  </si>
  <si>
    <t>09.01</t>
  </si>
  <si>
    <t>09.01.01</t>
  </si>
  <si>
    <t>09.01.02</t>
  </si>
  <si>
    <t>09.01.03</t>
  </si>
  <si>
    <t>09.01.04</t>
  </si>
  <si>
    <t>09.01.05</t>
  </si>
  <si>
    <t>09.01.06</t>
  </si>
  <si>
    <t>09.01.07</t>
  </si>
  <si>
    <t>09.01.08</t>
  </si>
  <si>
    <t>10</t>
  </si>
  <si>
    <t>10.01</t>
  </si>
  <si>
    <t>10.01.01</t>
  </si>
  <si>
    <t>10.01.02</t>
  </si>
  <si>
    <t>10.02</t>
  </si>
  <si>
    <t>10.02.01</t>
  </si>
  <si>
    <t>10.02.01.01</t>
  </si>
  <si>
    <t>10.02.02</t>
  </si>
  <si>
    <t>10.02.02.01</t>
  </si>
  <si>
    <t>10.02.02.02</t>
  </si>
  <si>
    <t>10.02.03</t>
  </si>
  <si>
    <t>10.02.03.01</t>
  </si>
  <si>
    <t>CONCRETO  f'c= 210 kg/cm2 P/DADOS EN SEMÁFOROS</t>
  </si>
  <si>
    <t>10.02.03.02</t>
  </si>
  <si>
    <t>10.02.03.03</t>
  </si>
  <si>
    <t>10.02.04</t>
  </si>
  <si>
    <t>10.02.04.01</t>
  </si>
  <si>
    <t>10.02.04.02</t>
  </si>
  <si>
    <t>10.02.04.03</t>
  </si>
  <si>
    <t>10.02.04.04</t>
  </si>
  <si>
    <t>10.02.05</t>
  </si>
  <si>
    <t>10.02.05.01</t>
  </si>
  <si>
    <t>10.02.05.02</t>
  </si>
  <si>
    <t>10.02.05.03</t>
  </si>
  <si>
    <t>10.02.05.04</t>
  </si>
  <si>
    <t>10.02.05.05</t>
  </si>
  <si>
    <t>10.02.05.06</t>
  </si>
  <si>
    <t>10.02.05.07</t>
  </si>
  <si>
    <t>10.02.05.08</t>
  </si>
  <si>
    <t>10.02.06</t>
  </si>
  <si>
    <t>10.02.06.01</t>
  </si>
  <si>
    <t>10.02.06.02</t>
  </si>
  <si>
    <t>10.02.06.03</t>
  </si>
  <si>
    <t>10.02.06.04</t>
  </si>
  <si>
    <t>10.02.07</t>
  </si>
  <si>
    <t>10.02.07.01</t>
  </si>
  <si>
    <t>10.02.07.02</t>
  </si>
  <si>
    <t>10.03</t>
  </si>
  <si>
    <t>10.03.01</t>
  </si>
  <si>
    <t>10.03.01.01</t>
  </si>
  <si>
    <t>10.03.02</t>
  </si>
  <si>
    <t>10.03.02.01</t>
  </si>
  <si>
    <t>10.03.02.02</t>
  </si>
  <si>
    <t>10.03.03</t>
  </si>
  <si>
    <t>10.03.03.01</t>
  </si>
  <si>
    <t>10.03.03.02</t>
  </si>
  <si>
    <t>10.03.03.03</t>
  </si>
  <si>
    <t>10.03.03.04</t>
  </si>
  <si>
    <t>10.03.03.05</t>
  </si>
  <si>
    <t>11</t>
  </si>
  <si>
    <t>11.01</t>
  </si>
  <si>
    <t>11.01.01</t>
  </si>
  <si>
    <t>11.01.01.01</t>
  </si>
  <si>
    <t>11.01.01.02</t>
  </si>
  <si>
    <t>11.01.02</t>
  </si>
  <si>
    <t>11.01.02.01</t>
  </si>
  <si>
    <t>11.01.02.02</t>
  </si>
  <si>
    <t>11.01.02.03</t>
  </si>
  <si>
    <t>11.01.03</t>
  </si>
  <si>
    <t>11.01.03.01</t>
  </si>
  <si>
    <t>11.01.03.02</t>
  </si>
  <si>
    <t>11.02</t>
  </si>
  <si>
    <t>11.02.01</t>
  </si>
  <si>
    <t>11.02.01.01</t>
  </si>
  <si>
    <t>11.03</t>
  </si>
  <si>
    <t>11.03.01</t>
  </si>
  <si>
    <t>11.04</t>
  </si>
  <si>
    <t>11.04.01</t>
  </si>
  <si>
    <t>11.05</t>
  </si>
  <si>
    <t>11.05.01</t>
  </si>
  <si>
    <t>11.06</t>
  </si>
  <si>
    <t>11.06.01</t>
  </si>
  <si>
    <t>TOPELLANTAS</t>
  </si>
  <si>
    <t>11.07.01</t>
  </si>
  <si>
    <t>SUMINISTRO E INSTALACION DE TOPELLANTAS</t>
  </si>
  <si>
    <t>12</t>
  </si>
  <si>
    <t>12.01</t>
  </si>
  <si>
    <t>12.02</t>
  </si>
  <si>
    <t>13</t>
  </si>
  <si>
    <t>13.01</t>
  </si>
  <si>
    <t>13.01.01</t>
  </si>
  <si>
    <t>13.01.02</t>
  </si>
  <si>
    <t>13.01.03</t>
  </si>
  <si>
    <t>GESTIÓN Y DISPOSICIÓN FINAL DE RESIDUOS PELIGROSOS</t>
  </si>
  <si>
    <t>13.02</t>
  </si>
  <si>
    <t>13.02.01</t>
  </si>
  <si>
    <t>13.03</t>
  </si>
  <si>
    <t>13.03.01</t>
  </si>
  <si>
    <t>13.04</t>
  </si>
  <si>
    <t>13.04.01</t>
  </si>
  <si>
    <t>13.05</t>
  </si>
  <si>
    <t>13.05.01</t>
  </si>
  <si>
    <t>13.05.02</t>
  </si>
  <si>
    <t>13.06</t>
  </si>
  <si>
    <t>13.06.01</t>
  </si>
  <si>
    <t>PLAN DE REFORESTACION</t>
  </si>
  <si>
    <t>13.07.01</t>
  </si>
  <si>
    <t>ARBORIZACIÓN CON FINES DE RECUPERACIÓN Y PROTECCIÓN AMBIENTAL URBANA</t>
  </si>
  <si>
    <t>14</t>
  </si>
  <si>
    <t>14.01</t>
  </si>
  <si>
    <t>14.01.01</t>
  </si>
  <si>
    <t>14.01.02</t>
  </si>
  <si>
    <t>14.01.03</t>
  </si>
  <si>
    <t>14.01.04</t>
  </si>
  <si>
    <t>14.01.05</t>
  </si>
  <si>
    <t>14.01.06</t>
  </si>
  <si>
    <t>CARPETA ASFALTICA EN CALIENTE E= 1''</t>
  </si>
  <si>
    <t>14.01.07</t>
  </si>
  <si>
    <t>14.01.08</t>
  </si>
  <si>
    <t>14.01.09</t>
  </si>
  <si>
    <t>DESBROCE Y LIMPIEZA DE VIAS ALTERNAS</t>
  </si>
  <si>
    <t>14.01.10</t>
  </si>
  <si>
    <t>14.01.11</t>
  </si>
  <si>
    <t>m3</t>
  </si>
  <si>
    <t>14.01.12</t>
  </si>
  <si>
    <t>PARCHADO PROFUNDO CON MAC</t>
  </si>
  <si>
    <t>14.02</t>
  </si>
  <si>
    <t>14.02.01</t>
  </si>
  <si>
    <t>14.02.02</t>
  </si>
  <si>
    <t>SUMINISTRO E INSTALACION DE SEMAFORO PROVISIONAL</t>
  </si>
  <si>
    <t>ESTRUCTURAS HIDRAULICAS EN VIAS ALTERNAS</t>
  </si>
  <si>
    <t>14.03.01</t>
  </si>
  <si>
    <t>TRAZO Y REPLANTEO DE ESTRUCTURAS HIDRAULICAS</t>
  </si>
  <si>
    <t>m2</t>
  </si>
  <si>
    <t>14.03.02</t>
  </si>
  <si>
    <t>EXCAVACION NO CLASIFICADA PARA ESTRUCTURAS</t>
  </si>
  <si>
    <t>14.03.03</t>
  </si>
  <si>
    <t xml:space="preserve">COLOCACIÓN DE CAMA DE ARENA </t>
  </si>
  <si>
    <t>14.03.04</t>
  </si>
  <si>
    <t>RELLENO CON MATERIAL PROPIO/EQUIPO</t>
  </si>
  <si>
    <t>14.03.05</t>
  </si>
  <si>
    <t>14.03.06</t>
  </si>
  <si>
    <t>CONCRETO F'C= 175 KG/CM2 PARA CABEZALES</t>
  </si>
  <si>
    <t>14.03.07</t>
  </si>
  <si>
    <t>ACERO FY=4200 KG/CM2, EN CABEZALES</t>
  </si>
  <si>
    <t>14.03.08</t>
  </si>
  <si>
    <t>EMBOQUILLADO DE PIEDRA E=0.15 M</t>
  </si>
  <si>
    <t>14.03.09</t>
  </si>
  <si>
    <r>
      <t xml:space="preserve">ALCANTARILLA TMC </t>
    </r>
    <r>
      <rPr>
        <sz val="14"/>
        <color rgb="FF000000"/>
        <rFont val="Calibri"/>
        <family val="2"/>
      </rPr>
      <t>Ø</t>
    </r>
    <r>
      <rPr>
        <sz val="14"/>
        <color rgb="FF000000"/>
        <rFont val="Arial Narrow"/>
        <family val="2"/>
      </rPr>
      <t xml:space="preserve"> 36'', E=2.0 MM</t>
    </r>
  </si>
  <si>
    <t>PLAN DE DIFUSION</t>
  </si>
  <si>
    <t>14.04.01</t>
  </si>
  <si>
    <t>IMPLEMENTACION DE HERRAMIENTAS DE DIFUSION</t>
  </si>
  <si>
    <t>PLAN DE GESTION SOCIAL</t>
  </si>
  <si>
    <t>14.05.01</t>
  </si>
  <si>
    <t>ELABORACIÓN E IMPLEMENTACION DEL PLAN DE GESTION SOCIAL</t>
  </si>
  <si>
    <t>15</t>
  </si>
  <si>
    <t>15.01</t>
  </si>
  <si>
    <t>Del 26/04/2025</t>
  </si>
  <si>
    <t>Del 01/05/2026</t>
  </si>
  <si>
    <t>Del 01/12/2025</t>
  </si>
  <si>
    <t>Del 01/01/2026</t>
  </si>
  <si>
    <t>Del 01/02/2026</t>
  </si>
  <si>
    <t>Del 01/03/2026</t>
  </si>
  <si>
    <t>Del 01/04/2026</t>
  </si>
  <si>
    <t>Del 01/06/2026</t>
  </si>
  <si>
    <t>Del 01/07/2026</t>
  </si>
  <si>
    <t>Del 01/08/2026</t>
  </si>
  <si>
    <t>Del 01/09/2026</t>
  </si>
  <si>
    <t>Al 30/11/2025</t>
  </si>
  <si>
    <t>Al 31/12/2025</t>
  </si>
  <si>
    <t>Al 31/01/2026</t>
  </si>
  <si>
    <t>Al 28/02/2026</t>
  </si>
  <si>
    <t>Al 31/03/2026</t>
  </si>
  <si>
    <t>Al 30/04/2026</t>
  </si>
  <si>
    <t>Al 31/05/2026</t>
  </si>
  <si>
    <t>Al 30/06/2026</t>
  </si>
  <si>
    <t>Al 31/07/2026</t>
  </si>
  <si>
    <t>Al 31/08/2026</t>
  </si>
  <si>
    <t>Del 01/10/2026</t>
  </si>
  <si>
    <t>Al 30/09/2026</t>
  </si>
  <si>
    <t>Al 17/10/2026</t>
  </si>
  <si>
    <t xml:space="preserve"> 560 DIAS CALENDARIO (DC)</t>
  </si>
  <si>
    <t>PRESUPUESTO ORIGINAL - DOCUMENTO DE TRABAJO</t>
  </si>
  <si>
    <t xml:space="preserve"> PRESUPUESTO MODIFICADO - SARDINELES SUMERGIDOS (S/)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</si>
  <si>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</si>
  <si>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</si>
  <si>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</si>
  <si>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</si>
  <si>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</si>
  <si>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</si>
  <si>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</si>
  <si>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</si>
  <si>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</si>
  <si>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</si>
  <si>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 xml:space="preserve">MAYO </t>
  </si>
  <si>
    <t>NOVIEMBRE</t>
  </si>
  <si>
    <t>DICIEMBRE</t>
  </si>
  <si>
    <t>VAL - 01</t>
  </si>
  <si>
    <t>VAL - 02</t>
  </si>
  <si>
    <t>VAL - 03</t>
  </si>
  <si>
    <t>VAL - 04</t>
  </si>
  <si>
    <t>VAL - 05</t>
  </si>
  <si>
    <t>VAL - 06</t>
  </si>
  <si>
    <t>VAL - 07</t>
  </si>
  <si>
    <t>VAL - 08</t>
  </si>
  <si>
    <t>VAL - 09</t>
  </si>
  <si>
    <t>VAL - 10</t>
  </si>
  <si>
    <t>VAL - 11</t>
  </si>
  <si>
    <t>VAL - 12</t>
  </si>
  <si>
    <t>VAL - 13</t>
  </si>
  <si>
    <t>VAL - 14</t>
  </si>
  <si>
    <t>VAL - 15</t>
  </si>
  <si>
    <t>VAL - 16</t>
  </si>
  <si>
    <t>VAL - 17</t>
  </si>
  <si>
    <t>VAL - 18</t>
  </si>
  <si>
    <t>VAL - 19</t>
  </si>
  <si>
    <r>
      <t>CRONOGRAMA VALORIZADO ACTUALIZADO DE EJECUCIÓN DE OBRA - RESOLUCIÓN EJECUTIVA REGIONAL N</t>
    </r>
    <r>
      <rPr>
        <sz val="48"/>
        <color rgb="FF0000FF"/>
        <rFont val="Calibri"/>
        <family val="2"/>
      </rPr>
      <t>°</t>
    </r>
    <r>
      <rPr>
        <sz val="48"/>
        <color rgb="FF0000FF"/>
        <rFont val="Calibri"/>
        <family val="2"/>
        <scheme val="minor"/>
      </rPr>
      <t>469 - 2025-GORE-ICA/GR QUE APRUEBA LA VARIACIÓN PRESUPUESTAL POR MAYOR TRABAJO DE OBRA N° 01 Y DEDUCTIVO VINCULANTE N°01</t>
    </r>
  </si>
  <si>
    <t>PRESUPUESTO MODIFICADO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</si>
</sst>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Times New Roman"/>
      <family val="2"/>
    </font>
    <font>
      <sz val="14"/>
      <color rgb="FF000000"/>
      <name val="Arial Narrow"/>
      <family val="2"/>
    </font>
    <font>
      <sz val="14"/>
      <color theme="1"/>
      <name val="Calibri"/>
      <family val="2"/>
      <scheme val="minor"/>
    </font>
    <font>
      <b/>
      <sz val="14"/>
      <color rgb="FF000000"/>
      <name val="Arial Narrow"/>
      <family val="2"/>
    </font>
    <font>
      <b/>
      <sz val="16"/>
      <color rgb="FF0070C0"/>
      <name val="Arial Narrow"/>
      <family val="2"/>
    </font>
    <font>
      <sz val="16"/>
      <color rgb="FF000000"/>
      <name val="Arial Narrow"/>
      <family val="2"/>
    </font>
    <font>
      <sz val="18"/>
      <color rgb="FF000000"/>
      <name val="Arial Narrow"/>
      <family val="2"/>
    </font>
    <font>
      <b/>
      <sz val="16"/>
      <color rgb="FF000000"/>
      <name val="Arial Narrow"/>
      <family val="2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48"/>
      <color rgb="FF0000FF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b/>
      <sz val="14"/>
      <color rgb="FF0070C0"/>
      <name val="Arial Narrow"/>
      <family val="2"/>
    </font>
    <font>
      <b/>
      <sz val="14"/>
      <color rgb="FFFF0000"/>
      <name val="Arial Narrow"/>
      <family val="2"/>
    </font>
    <font>
      <sz val="16"/>
      <color rgb="FFFF0000"/>
      <name val="Arial Narrow"/>
      <family val="2"/>
    </font>
    <font>
      <b/>
      <u/>
      <sz val="14"/>
      <color rgb="FF0070C0"/>
      <name val="Arial Narrow"/>
      <family val="2"/>
    </font>
    <font>
      <sz val="14"/>
      <color theme="1"/>
      <name val="Arial Narrow"/>
      <family val="2"/>
    </font>
    <font>
      <b/>
      <sz val="14"/>
      <color theme="9" tint="-0.249977111117893"/>
      <name val="Arial Narrow"/>
      <family val="2"/>
    </font>
    <font>
      <b/>
      <u/>
      <sz val="14"/>
      <color theme="9" tint="-0.249977111117893"/>
      <name val="Arial Narrow"/>
      <family val="2"/>
    </font>
    <font>
      <b/>
      <sz val="16"/>
      <color theme="9" tint="-0.249977111117893"/>
      <name val="Arial Narrow"/>
      <family val="2"/>
    </font>
    <font>
      <sz val="14"/>
      <name val="Arial Narrow"/>
      <family val="2"/>
    </font>
    <font>
      <sz val="16"/>
      <name val="Arial Narrow"/>
      <family val="2"/>
    </font>
    <font>
      <sz val="14"/>
      <color rgb="FF000000"/>
      <name val="Calibri"/>
      <family val="2"/>
    </font>
    <font>
      <b/>
      <sz val="16"/>
      <color rgb="FFFF0000"/>
      <name val="Arial Narrow"/>
      <family val="2"/>
    </font>
    <font>
      <sz val="18"/>
      <name val="Arial Narrow"/>
      <family val="2"/>
    </font>
    <font>
      <b/>
      <sz val="16"/>
      <name val="Arial Narrow"/>
      <family val="2"/>
    </font>
    <font>
      <sz val="16"/>
      <name val="Calibri"/>
      <family val="2"/>
      <scheme val="minor"/>
    </font>
    <font>
      <sz val="12"/>
      <color rgb="FF000000"/>
      <name val="Arial Narrow"/>
      <family val="2"/>
    </font>
    <font>
      <sz val="48"/>
      <color rgb="FF0000FF"/>
      <name val="Calibri"/>
      <family val="2"/>
    </font>
    <font>
      <sz val="16"/>
      <color theme="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AEB6C1"/>
      </left>
      <right style="thin">
        <color rgb="FFAEB6C1"/>
      </right>
      <top style="thin">
        <color rgb="FFAEB6C1"/>
      </top>
      <bottom style="thin">
        <color rgb="FFAEB6C1"/>
      </bottom>
      <diagonal/>
    </border>
    <border>
      <left/>
      <right style="thin">
        <color rgb="FFAEB6C1"/>
      </right>
      <top style="thin">
        <color rgb="FFAEB6C1"/>
      </top>
      <bottom style="thin">
        <color rgb="FFAEB6C1"/>
      </bottom>
      <diagonal/>
    </border>
    <border>
      <left style="thin">
        <color rgb="FFAEB6C1"/>
      </left>
      <right/>
      <top style="thin">
        <color rgb="FFAEB6C1"/>
      </top>
      <bottom style="thin">
        <color rgb="FFAEB6C1"/>
      </bottom>
      <diagonal/>
    </border>
    <border>
      <left style="thin">
        <color rgb="FFAEB6C1"/>
      </left>
      <right/>
      <top style="thin">
        <color rgb="FFAEB6C1"/>
      </top>
      <bottom/>
      <diagonal/>
    </border>
    <border>
      <left/>
      <right style="thin">
        <color rgb="FFAEB6C1"/>
      </right>
      <top/>
      <bottom style="thin">
        <color rgb="FFAEB6C1"/>
      </bottom>
      <diagonal/>
    </border>
    <border>
      <left style="thin">
        <color rgb="FFAEB6C1"/>
      </left>
      <right style="thin">
        <color rgb="FFAEB6C1"/>
      </right>
      <top/>
      <bottom style="thin">
        <color rgb="FFAEB6C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AEB6C1"/>
      </bottom>
      <diagonal/>
    </border>
    <border>
      <left style="thin">
        <color indexed="64"/>
      </left>
      <right style="thin">
        <color indexed="64"/>
      </right>
      <top style="thin">
        <color rgb="FFAEB6C1"/>
      </top>
      <bottom style="thin">
        <color rgb="FFAEB6C1"/>
      </bottom>
      <diagonal/>
    </border>
    <border>
      <left style="thin">
        <color indexed="64"/>
      </left>
      <right style="thin">
        <color indexed="64"/>
      </right>
      <top style="thin">
        <color rgb="FFAEB6C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AEB6C1"/>
      </left>
      <right/>
      <top/>
      <bottom style="thin">
        <color rgb="FFAEB6C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EB6C1"/>
      </top>
      <bottom/>
      <diagonal/>
    </border>
    <border>
      <left/>
      <right style="thin">
        <color rgb="FFAEB6C1"/>
      </right>
      <top style="thin">
        <color rgb="FFAEB6C1"/>
      </top>
      <bottom/>
      <diagonal/>
    </border>
    <border>
      <left/>
      <right/>
      <top style="thin">
        <color rgb="FFAEB6C1"/>
      </top>
      <bottom style="thin">
        <color rgb="FFAEB6C1"/>
      </bottom>
      <diagonal/>
    </border>
    <border>
      <left style="thin">
        <color rgb="FFAEB6C1"/>
      </left>
      <right style="thin">
        <color indexed="64"/>
      </right>
      <top style="thin">
        <color indexed="64"/>
      </top>
      <bottom/>
      <diagonal/>
    </border>
    <border>
      <left style="thin">
        <color rgb="FFAEB6C1"/>
      </left>
      <right style="thin">
        <color indexed="64"/>
      </right>
      <top/>
      <bottom/>
      <diagonal/>
    </border>
    <border>
      <left style="thin">
        <color rgb="FFAEB6C1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4" fontId="2" fillId="0" borderId="0" xfId="0" applyNumberFormat="1" applyFont="1"/>
    <xf numFmtId="4" fontId="2" fillId="0" borderId="1" xfId="0" applyNumberFormat="1" applyFont="1" applyBorder="1"/>
    <xf numFmtId="4" fontId="5" fillId="0" borderId="0" xfId="0" applyNumberFormat="1" applyFont="1"/>
    <xf numFmtId="4" fontId="5" fillId="0" borderId="0" xfId="0" applyNumberFormat="1" applyFont="1" applyAlignment="1">
      <alignment wrapText="1"/>
    </xf>
    <xf numFmtId="4" fontId="8" fillId="2" borderId="12" xfId="0" applyNumberFormat="1" applyFont="1" applyFill="1" applyBorder="1" applyAlignment="1">
      <alignment horizontal="right" vertical="center" wrapText="1" shrinkToFit="1" readingOrder="1"/>
    </xf>
    <xf numFmtId="4" fontId="8" fillId="2" borderId="11" xfId="0" applyNumberFormat="1" applyFont="1" applyFill="1" applyBorder="1" applyAlignment="1">
      <alignment horizontal="right" vertical="center" wrapText="1" shrinkToFit="1" readingOrder="1"/>
    </xf>
    <xf numFmtId="4" fontId="11" fillId="0" borderId="0" xfId="0" applyNumberFormat="1" applyFont="1"/>
    <xf numFmtId="4" fontId="11" fillId="0" borderId="1" xfId="0" applyNumberFormat="1" applyFont="1" applyBorder="1"/>
    <xf numFmtId="4" fontId="14" fillId="0" borderId="0" xfId="0" applyNumberFormat="1" applyFont="1" applyAlignment="1">
      <alignment horizontal="center" vertical="center"/>
    </xf>
    <xf numFmtId="4" fontId="14" fillId="0" borderId="1" xfId="0" applyNumberFormat="1" applyFont="1" applyBorder="1" applyAlignment="1">
      <alignment horizontal="center" vertical="center"/>
    </xf>
    <xf numFmtId="4" fontId="2" fillId="4" borderId="0" xfId="0" applyNumberFormat="1" applyFont="1" applyFill="1"/>
    <xf numFmtId="4" fontId="5" fillId="4" borderId="0" xfId="0" applyNumberFormat="1" applyFont="1" applyFill="1"/>
    <xf numFmtId="4" fontId="15" fillId="4" borderId="0" xfId="0" applyNumberFormat="1" applyFont="1" applyFill="1"/>
    <xf numFmtId="4" fontId="15" fillId="0" borderId="0" xfId="0" applyNumberFormat="1" applyFont="1"/>
    <xf numFmtId="4" fontId="10" fillId="3" borderId="0" xfId="0" applyNumberFormat="1" applyFont="1" applyFill="1" applyAlignment="1">
      <alignment vertical="top" wrapText="1" shrinkToFit="1" readingOrder="1"/>
    </xf>
    <xf numFmtId="4" fontId="19" fillId="4" borderId="1" xfId="0" applyNumberFormat="1" applyFont="1" applyFill="1" applyBorder="1" applyAlignment="1">
      <alignment vertical="center" shrinkToFit="1" readingOrder="1"/>
    </xf>
    <xf numFmtId="4" fontId="4" fillId="4" borderId="1" xfId="0" applyNumberFormat="1" applyFont="1" applyFill="1" applyBorder="1" applyAlignment="1">
      <alignment vertical="center" wrapText="1" shrinkToFit="1" readingOrder="1"/>
    </xf>
    <xf numFmtId="4" fontId="19" fillId="4" borderId="1" xfId="0" applyNumberFormat="1" applyFont="1" applyFill="1" applyBorder="1" applyAlignment="1">
      <alignment vertical="center" wrapText="1" shrinkToFit="1" readingOrder="1"/>
    </xf>
    <xf numFmtId="4" fontId="17" fillId="4" borderId="1" xfId="0" applyNumberFormat="1" applyFont="1" applyFill="1" applyBorder="1" applyAlignment="1">
      <alignment vertical="center" wrapText="1" shrinkToFit="1" readingOrder="1"/>
    </xf>
    <xf numFmtId="4" fontId="20" fillId="4" borderId="1" xfId="0" applyNumberFormat="1" applyFont="1" applyFill="1" applyBorder="1" applyAlignment="1">
      <alignment vertical="center" wrapText="1" shrinkToFit="1" readingOrder="1"/>
    </xf>
    <xf numFmtId="4" fontId="22" fillId="4" borderId="1" xfId="0" applyNumberFormat="1" applyFont="1" applyFill="1" applyBorder="1" applyAlignment="1">
      <alignment vertical="center" wrapText="1" shrinkToFit="1" readingOrder="1"/>
    </xf>
    <xf numFmtId="4" fontId="8" fillId="4" borderId="8" xfId="0" applyNumberFormat="1" applyFont="1" applyFill="1" applyBorder="1" applyAlignment="1">
      <alignment horizontal="center" vertical="center" wrapText="1" shrinkToFit="1" readingOrder="1"/>
    </xf>
    <xf numFmtId="4" fontId="17" fillId="4" borderId="1" xfId="0" quotePrefix="1" applyNumberFormat="1" applyFont="1" applyFill="1" applyBorder="1" applyAlignment="1">
      <alignment horizontal="left" vertical="center" wrapText="1" shrinkToFit="1" readingOrder="1"/>
    </xf>
    <xf numFmtId="4" fontId="17" fillId="4" borderId="1" xfId="0" applyNumberFormat="1" applyFont="1" applyFill="1" applyBorder="1" applyAlignment="1">
      <alignment vertical="center" shrinkToFit="1" readingOrder="1"/>
    </xf>
    <xf numFmtId="4" fontId="16" fillId="4" borderId="1" xfId="0" quotePrefix="1" applyNumberFormat="1" applyFont="1" applyFill="1" applyBorder="1" applyAlignment="1">
      <alignment horizontal="left" vertical="center" wrapText="1" shrinkToFit="1" readingOrder="1"/>
    </xf>
    <xf numFmtId="4" fontId="4" fillId="4" borderId="1" xfId="0" applyNumberFormat="1" applyFont="1" applyFill="1" applyBorder="1" applyAlignment="1">
      <alignment horizontal="left" vertical="center" wrapText="1" shrinkToFit="1" readingOrder="1"/>
    </xf>
    <xf numFmtId="4" fontId="16" fillId="4" borderId="1" xfId="0" applyNumberFormat="1" applyFont="1" applyFill="1" applyBorder="1" applyAlignment="1">
      <alignment horizontal="left" vertical="center" wrapText="1" shrinkToFit="1" readingOrder="1"/>
    </xf>
    <xf numFmtId="4" fontId="17" fillId="4" borderId="1" xfId="0" applyNumberFormat="1" applyFont="1" applyFill="1" applyBorder="1" applyAlignment="1">
      <alignment horizontal="left" vertical="center" wrapText="1" shrinkToFit="1" readingOrder="1"/>
    </xf>
    <xf numFmtId="4" fontId="21" fillId="4" borderId="1" xfId="0" applyNumberFormat="1" applyFont="1" applyFill="1" applyBorder="1" applyAlignment="1">
      <alignment horizontal="left" vertical="center" wrapText="1" shrinkToFit="1" readingOrder="1"/>
    </xf>
    <xf numFmtId="4" fontId="24" fillId="4" borderId="1" xfId="0" applyNumberFormat="1" applyFont="1" applyFill="1" applyBorder="1" applyAlignment="1">
      <alignment vertical="center" wrapText="1" shrinkToFit="1" readingOrder="1"/>
    </xf>
    <xf numFmtId="4" fontId="24" fillId="4" borderId="1" xfId="0" applyNumberFormat="1" applyFont="1" applyFill="1" applyBorder="1" applyAlignment="1">
      <alignment horizontal="left" vertical="center" wrapText="1" shrinkToFit="1" readingOrder="1"/>
    </xf>
    <xf numFmtId="4" fontId="7" fillId="4" borderId="1" xfId="0" applyNumberFormat="1" applyFont="1" applyFill="1" applyBorder="1" applyAlignment="1">
      <alignment horizontal="right" vertical="center" wrapText="1" shrinkToFit="1" readingOrder="1"/>
    </xf>
    <xf numFmtId="4" fontId="8" fillId="4" borderId="1" xfId="0" applyNumberFormat="1" applyFont="1" applyFill="1" applyBorder="1" applyAlignment="1">
      <alignment horizontal="right" vertical="center" wrapText="1" shrinkToFit="1" readingOrder="1"/>
    </xf>
    <xf numFmtId="4" fontId="25" fillId="4" borderId="1" xfId="0" applyNumberFormat="1" applyFont="1" applyFill="1" applyBorder="1" applyAlignment="1">
      <alignment horizontal="right" vertical="center" wrapText="1" shrinkToFit="1" readingOrder="1"/>
    </xf>
    <xf numFmtId="4" fontId="23" fillId="4" borderId="1" xfId="0" applyNumberFormat="1" applyFont="1" applyFill="1" applyBorder="1" applyAlignment="1">
      <alignment horizontal="right" vertical="center" wrapText="1" shrinkToFit="1" readingOrder="1"/>
    </xf>
    <xf numFmtId="4" fontId="18" fillId="5" borderId="1" xfId="0" applyNumberFormat="1" applyFont="1" applyFill="1" applyBorder="1" applyAlignment="1">
      <alignment horizontal="right" vertical="center" wrapText="1" shrinkToFit="1" readingOrder="1"/>
    </xf>
    <xf numFmtId="4" fontId="7" fillId="5" borderId="1" xfId="0" applyNumberFormat="1" applyFont="1" applyFill="1" applyBorder="1" applyAlignment="1">
      <alignment horizontal="right" vertical="center" wrapText="1" shrinkToFit="1" readingOrder="1"/>
    </xf>
    <xf numFmtId="4" fontId="8" fillId="5" borderId="1" xfId="0" applyNumberFormat="1" applyFont="1" applyFill="1" applyBorder="1" applyAlignment="1">
      <alignment horizontal="right" vertical="center" wrapText="1" shrinkToFit="1" readingOrder="1"/>
    </xf>
    <xf numFmtId="4" fontId="25" fillId="5" borderId="1" xfId="0" applyNumberFormat="1" applyFont="1" applyFill="1" applyBorder="1" applyAlignment="1">
      <alignment horizontal="right" vertical="center" wrapText="1" shrinkToFit="1" readingOrder="1"/>
    </xf>
    <xf numFmtId="4" fontId="23" fillId="5" borderId="1" xfId="0" applyNumberFormat="1" applyFont="1" applyFill="1" applyBorder="1" applyAlignment="1">
      <alignment horizontal="right" vertical="center" wrapText="1" shrinkToFit="1" readingOrder="1"/>
    </xf>
    <xf numFmtId="4" fontId="8" fillId="5" borderId="7" xfId="0" applyNumberFormat="1" applyFont="1" applyFill="1" applyBorder="1" applyAlignment="1">
      <alignment horizontal="right" vertical="center" wrapText="1" shrinkToFit="1" readingOrder="1"/>
    </xf>
    <xf numFmtId="4" fontId="18" fillId="4" borderId="8" xfId="0" applyNumberFormat="1" applyFont="1" applyFill="1" applyBorder="1" applyAlignment="1">
      <alignment horizontal="center" vertical="center" wrapText="1" shrinkToFit="1" readingOrder="1"/>
    </xf>
    <xf numFmtId="4" fontId="7" fillId="4" borderId="8" xfId="0" applyNumberFormat="1" applyFont="1" applyFill="1" applyBorder="1" applyAlignment="1">
      <alignment horizontal="center" vertical="center" wrapText="1" shrinkToFit="1" readingOrder="1"/>
    </xf>
    <xf numFmtId="4" fontId="23" fillId="4" borderId="8" xfId="0" applyNumberFormat="1" applyFont="1" applyFill="1" applyBorder="1" applyAlignment="1">
      <alignment horizontal="center" vertical="center" wrapText="1" shrinkToFit="1" readingOrder="1"/>
    </xf>
    <xf numFmtId="4" fontId="25" fillId="4" borderId="8" xfId="0" applyNumberFormat="1" applyFont="1" applyFill="1" applyBorder="1" applyAlignment="1">
      <alignment horizontal="center" vertical="center" wrapText="1" shrinkToFit="1" readingOrder="1"/>
    </xf>
    <xf numFmtId="4" fontId="27" fillId="5" borderId="1" xfId="0" applyNumberFormat="1" applyFont="1" applyFill="1" applyBorder="1" applyAlignment="1">
      <alignment horizontal="right" vertical="center" wrapText="1" shrinkToFit="1" readingOrder="1"/>
    </xf>
    <xf numFmtId="4" fontId="10" fillId="5" borderId="7" xfId="0" applyNumberFormat="1" applyFont="1" applyFill="1" applyBorder="1" applyAlignment="1">
      <alignment horizontal="center" vertical="center" wrapText="1" shrinkToFit="1" readingOrder="1"/>
    </xf>
    <xf numFmtId="4" fontId="10" fillId="5" borderId="9" xfId="0" applyNumberFormat="1" applyFont="1" applyFill="1" applyBorder="1" applyAlignment="1">
      <alignment horizontal="center" vertical="center" wrapText="1" shrinkToFit="1" readingOrder="1"/>
    </xf>
    <xf numFmtId="4" fontId="2" fillId="5" borderId="0" xfId="0" applyNumberFormat="1" applyFont="1" applyFill="1"/>
    <xf numFmtId="4" fontId="4" fillId="5" borderId="2" xfId="0" applyNumberFormat="1" applyFont="1" applyFill="1" applyBorder="1" applyAlignment="1">
      <alignment horizontal="center" vertical="center" wrapText="1" shrinkToFit="1" readingOrder="1"/>
    </xf>
    <xf numFmtId="4" fontId="4" fillId="5" borderId="4" xfId="0" applyNumberFormat="1" applyFont="1" applyFill="1" applyBorder="1" applyAlignment="1">
      <alignment horizontal="center" vertical="center" wrapText="1" shrinkToFit="1" readingOrder="1"/>
    </xf>
    <xf numFmtId="4" fontId="5" fillId="5" borderId="0" xfId="0" applyNumberFormat="1" applyFont="1" applyFill="1"/>
    <xf numFmtId="4" fontId="4" fillId="5" borderId="3" xfId="0" applyNumberFormat="1" applyFont="1" applyFill="1" applyBorder="1" applyAlignment="1">
      <alignment horizontal="center" vertical="center" wrapText="1" shrinkToFit="1" readingOrder="1"/>
    </xf>
    <xf numFmtId="4" fontId="4" fillId="5" borderId="5" xfId="0" applyNumberFormat="1" applyFont="1" applyFill="1" applyBorder="1" applyAlignment="1">
      <alignment horizontal="center" vertical="center" wrapText="1" shrinkToFit="1" readingOrder="1"/>
    </xf>
    <xf numFmtId="4" fontId="4" fillId="5" borderId="6" xfId="0" applyNumberFormat="1" applyFont="1" applyFill="1" applyBorder="1" applyAlignment="1">
      <alignment horizontal="center" vertical="center" wrapText="1" shrinkToFit="1" readingOrder="1"/>
    </xf>
    <xf numFmtId="4" fontId="8" fillId="5" borderId="15" xfId="0" applyNumberFormat="1" applyFont="1" applyFill="1" applyBorder="1" applyAlignment="1">
      <alignment horizontal="right" vertical="center" wrapText="1" shrinkToFit="1" readingOrder="1"/>
    </xf>
    <xf numFmtId="4" fontId="8" fillId="5" borderId="11" xfId="0" applyNumberFormat="1" applyFont="1" applyFill="1" applyBorder="1" applyAlignment="1">
      <alignment horizontal="right" vertical="center" wrapText="1" shrinkToFit="1" readingOrder="1"/>
    </xf>
    <xf numFmtId="4" fontId="8" fillId="5" borderId="12" xfId="0" applyNumberFormat="1" applyFont="1" applyFill="1" applyBorder="1" applyAlignment="1">
      <alignment horizontal="right" vertical="center" wrapText="1" shrinkToFit="1" readingOrder="1"/>
    </xf>
    <xf numFmtId="4" fontId="8" fillId="4" borderId="0" xfId="0" applyNumberFormat="1" applyFont="1" applyFill="1" applyBorder="1" applyAlignment="1">
      <alignment horizontal="right" vertical="center" wrapText="1" shrinkToFit="1" readingOrder="1"/>
    </xf>
    <xf numFmtId="4" fontId="27" fillId="4" borderId="1" xfId="0" applyNumberFormat="1" applyFont="1" applyFill="1" applyBorder="1" applyAlignment="1">
      <alignment horizontal="right" vertical="center" wrapText="1" shrinkToFit="1" readingOrder="1"/>
    </xf>
    <xf numFmtId="4" fontId="8" fillId="5" borderId="16" xfId="0" applyNumberFormat="1" applyFont="1" applyFill="1" applyBorder="1" applyAlignment="1">
      <alignment horizontal="right" vertical="center" wrapText="1" shrinkToFit="1" readingOrder="1"/>
    </xf>
    <xf numFmtId="10" fontId="8" fillId="0" borderId="11" xfId="0" applyNumberFormat="1" applyFont="1" applyFill="1" applyBorder="1" applyAlignment="1">
      <alignment horizontal="right" vertical="center" wrapText="1" shrinkToFit="1" readingOrder="1"/>
    </xf>
    <xf numFmtId="4" fontId="8" fillId="5" borderId="17" xfId="0" applyNumberFormat="1" applyFont="1" applyFill="1" applyBorder="1" applyAlignment="1">
      <alignment horizontal="right" vertical="center" wrapText="1" shrinkToFit="1" readingOrder="1"/>
    </xf>
    <xf numFmtId="4" fontId="8" fillId="2" borderId="18" xfId="0" applyNumberFormat="1" applyFont="1" applyFill="1" applyBorder="1" applyAlignment="1">
      <alignment horizontal="right" vertical="center" wrapText="1" shrinkToFit="1" readingOrder="1"/>
    </xf>
    <xf numFmtId="4" fontId="8" fillId="5" borderId="18" xfId="0" applyNumberFormat="1" applyFont="1" applyFill="1" applyBorder="1" applyAlignment="1">
      <alignment horizontal="right" vertical="center" wrapText="1" shrinkToFit="1" readingOrder="1"/>
    </xf>
    <xf numFmtId="4" fontId="8" fillId="5" borderId="19" xfId="0" applyNumberFormat="1" applyFont="1" applyFill="1" applyBorder="1" applyAlignment="1">
      <alignment horizontal="right" vertical="center" wrapText="1" shrinkToFit="1" readingOrder="1"/>
    </xf>
    <xf numFmtId="4" fontId="29" fillId="5" borderId="1" xfId="0" applyNumberFormat="1" applyFont="1" applyFill="1" applyBorder="1" applyAlignment="1">
      <alignment horizontal="right" vertical="center" wrapText="1" shrinkToFit="1" readingOrder="1"/>
    </xf>
    <xf numFmtId="4" fontId="30" fillId="0" borderId="0" xfId="0" applyNumberFormat="1" applyFont="1"/>
    <xf numFmtId="4" fontId="30" fillId="0" borderId="1" xfId="0" applyNumberFormat="1" applyFont="1" applyBorder="1"/>
    <xf numFmtId="4" fontId="15" fillId="0" borderId="1" xfId="0" applyNumberFormat="1" applyFont="1" applyBorder="1"/>
    <xf numFmtId="4" fontId="31" fillId="4" borderId="1" xfId="0" applyNumberFormat="1" applyFont="1" applyFill="1" applyBorder="1" applyAlignment="1">
      <alignment horizontal="left" vertical="center" wrapText="1" shrinkToFit="1" readingOrder="1"/>
    </xf>
    <xf numFmtId="4" fontId="3" fillId="0" borderId="0" xfId="0" applyNumberFormat="1" applyFont="1" applyAlignment="1">
      <alignment horizontal="left" vertical="top" wrapText="1" shrinkToFit="1" readingOrder="1"/>
    </xf>
    <xf numFmtId="4" fontId="10" fillId="3" borderId="0" xfId="0" applyNumberFormat="1" applyFont="1" applyFill="1" applyAlignment="1">
      <alignment horizontal="left" vertical="top" wrapText="1" shrinkToFit="1" readingOrder="1"/>
    </xf>
    <xf numFmtId="2" fontId="12" fillId="5" borderId="1" xfId="0" applyNumberFormat="1" applyFont="1" applyFill="1" applyBorder="1" applyAlignment="1">
      <alignment horizontal="center" vertical="top" wrapText="1" shrinkToFit="1" readingOrder="1"/>
    </xf>
    <xf numFmtId="4" fontId="10" fillId="3" borderId="0" xfId="0" applyNumberFormat="1" applyFont="1" applyFill="1" applyBorder="1" applyAlignment="1">
      <alignment horizontal="left" vertical="top" wrapText="1" shrinkToFit="1" readingOrder="1"/>
    </xf>
    <xf numFmtId="10" fontId="8" fillId="0" borderId="0" xfId="0" applyNumberFormat="1" applyFont="1" applyFill="1" applyBorder="1" applyAlignment="1">
      <alignment horizontal="right" vertical="center" wrapText="1" shrinkToFit="1" readingOrder="1"/>
    </xf>
    <xf numFmtId="4" fontId="8" fillId="5" borderId="22" xfId="0" applyNumberFormat="1" applyFont="1" applyFill="1" applyBorder="1" applyAlignment="1">
      <alignment horizontal="right" vertical="center" wrapText="1" shrinkToFit="1" readingOrder="1"/>
    </xf>
    <xf numFmtId="4" fontId="8" fillId="2" borderId="13" xfId="0" applyNumberFormat="1" applyFont="1" applyFill="1" applyBorder="1" applyAlignment="1">
      <alignment horizontal="right" vertical="center" wrapText="1" shrinkToFit="1" readingOrder="1"/>
    </xf>
    <xf numFmtId="4" fontId="8" fillId="5" borderId="13" xfId="0" applyNumberFormat="1" applyFont="1" applyFill="1" applyBorder="1" applyAlignment="1">
      <alignment horizontal="right" vertical="center" wrapText="1" shrinkToFit="1" readingOrder="1"/>
    </xf>
    <xf numFmtId="10" fontId="10" fillId="0" borderId="11" xfId="0" applyNumberFormat="1" applyFont="1" applyFill="1" applyBorder="1" applyAlignment="1">
      <alignment horizontal="right" vertical="center" wrapText="1" shrinkToFit="1" readingOrder="1"/>
    </xf>
    <xf numFmtId="4" fontId="27" fillId="6" borderId="1" xfId="0" applyNumberFormat="1" applyFont="1" applyFill="1" applyBorder="1" applyAlignment="1">
      <alignment horizontal="right" vertical="center" wrapText="1" shrinkToFit="1" readingOrder="1"/>
    </xf>
    <xf numFmtId="4" fontId="7" fillId="6" borderId="1" xfId="0" applyNumberFormat="1" applyFont="1" applyFill="1" applyBorder="1" applyAlignment="1">
      <alignment horizontal="right" vertical="center" wrapText="1" shrinkToFit="1" readingOrder="1"/>
    </xf>
    <xf numFmtId="4" fontId="8" fillId="6" borderId="1" xfId="0" applyNumberFormat="1" applyFont="1" applyFill="1" applyBorder="1" applyAlignment="1">
      <alignment horizontal="right" vertical="center" wrapText="1" shrinkToFit="1" readingOrder="1"/>
    </xf>
    <xf numFmtId="4" fontId="23" fillId="6" borderId="1" xfId="0" applyNumberFormat="1" applyFont="1" applyFill="1" applyBorder="1" applyAlignment="1">
      <alignment horizontal="right" vertical="center" wrapText="1" shrinkToFit="1" readingOrder="1"/>
    </xf>
    <xf numFmtId="4" fontId="25" fillId="6" borderId="1" xfId="0" applyNumberFormat="1" applyFont="1" applyFill="1" applyBorder="1" applyAlignment="1">
      <alignment horizontal="right" vertical="center" wrapText="1" shrinkToFit="1" readingOrder="1"/>
    </xf>
    <xf numFmtId="4" fontId="8" fillId="4" borderId="7" xfId="0" applyNumberFormat="1" applyFont="1" applyFill="1" applyBorder="1" applyAlignment="1">
      <alignment horizontal="right" vertical="center" wrapText="1" shrinkToFit="1" readingOrder="1"/>
    </xf>
    <xf numFmtId="4" fontId="25" fillId="4" borderId="3" xfId="0" applyNumberFormat="1" applyFont="1" applyFill="1" applyBorder="1" applyAlignment="1">
      <alignment horizontal="right" vertical="center" wrapText="1" shrinkToFit="1" readingOrder="1"/>
    </xf>
    <xf numFmtId="4" fontId="8" fillId="4" borderId="24" xfId="0" applyNumberFormat="1" applyFont="1" applyFill="1" applyBorder="1" applyAlignment="1">
      <alignment horizontal="right" vertical="center" wrapText="1" shrinkToFit="1" readingOrder="1"/>
    </xf>
    <xf numFmtId="4" fontId="13" fillId="3" borderId="0" xfId="0" applyNumberFormat="1" applyFont="1" applyFill="1" applyBorder="1" applyAlignment="1">
      <alignment horizontal="center" vertical="center" wrapText="1"/>
    </xf>
    <xf numFmtId="4" fontId="2" fillId="4" borderId="0" xfId="0" applyNumberFormat="1" applyFont="1" applyFill="1" applyAlignment="1">
      <alignment wrapText="1"/>
    </xf>
    <xf numFmtId="4" fontId="2" fillId="0" borderId="0" xfId="0" applyNumberFormat="1" applyFont="1" applyAlignment="1">
      <alignment wrapText="1"/>
    </xf>
    <xf numFmtId="4" fontId="8" fillId="7" borderId="19" xfId="0" applyNumberFormat="1" applyFont="1" applyFill="1" applyBorder="1" applyAlignment="1">
      <alignment horizontal="right" vertical="center" wrapText="1" shrinkToFit="1" readingOrder="1"/>
    </xf>
    <xf numFmtId="4" fontId="8" fillId="7" borderId="18" xfId="0" applyNumberFormat="1" applyFont="1" applyFill="1" applyBorder="1" applyAlignment="1">
      <alignment horizontal="right" vertical="center" wrapText="1" shrinkToFit="1" readingOrder="1"/>
    </xf>
    <xf numFmtId="4" fontId="27" fillId="7" borderId="1" xfId="0" applyNumberFormat="1" applyFont="1" applyFill="1" applyBorder="1" applyAlignment="1">
      <alignment horizontal="right" vertical="center" wrapText="1" shrinkToFit="1" readingOrder="1"/>
    </xf>
    <xf numFmtId="4" fontId="7" fillId="7" borderId="1" xfId="0" applyNumberFormat="1" applyFont="1" applyFill="1" applyBorder="1" applyAlignment="1">
      <alignment horizontal="right" vertical="center" wrapText="1" shrinkToFit="1" readingOrder="1"/>
    </xf>
    <xf numFmtId="4" fontId="8" fillId="7" borderId="1" xfId="0" applyNumberFormat="1" applyFont="1" applyFill="1" applyBorder="1" applyAlignment="1">
      <alignment horizontal="right" vertical="center" wrapText="1" shrinkToFit="1" readingOrder="1"/>
    </xf>
    <xf numFmtId="4" fontId="23" fillId="7" borderId="1" xfId="0" applyNumberFormat="1" applyFont="1" applyFill="1" applyBorder="1" applyAlignment="1">
      <alignment horizontal="right" vertical="center" wrapText="1" shrinkToFit="1" readingOrder="1"/>
    </xf>
    <xf numFmtId="4" fontId="25" fillId="7" borderId="1" xfId="0" applyNumberFormat="1" applyFont="1" applyFill="1" applyBorder="1" applyAlignment="1">
      <alignment horizontal="right" vertical="center" wrapText="1" shrinkToFit="1" readingOrder="1"/>
    </xf>
    <xf numFmtId="4" fontId="8" fillId="7" borderId="17" xfId="0" applyNumberFormat="1" applyFont="1" applyFill="1" applyBorder="1" applyAlignment="1">
      <alignment horizontal="right" vertical="center" wrapText="1" shrinkToFit="1" readingOrder="1"/>
    </xf>
    <xf numFmtId="4" fontId="2" fillId="6" borderId="1" xfId="0" applyNumberFormat="1" applyFont="1" applyFill="1" applyBorder="1"/>
    <xf numFmtId="4" fontId="15" fillId="6" borderId="1" xfId="0" applyNumberFormat="1" applyFont="1" applyFill="1" applyBorder="1"/>
    <xf numFmtId="4" fontId="33" fillId="0" borderId="0" xfId="0" applyNumberFormat="1" applyFont="1" applyAlignment="1">
      <alignment horizontal="center" wrapText="1"/>
    </xf>
    <xf numFmtId="4" fontId="2" fillId="4" borderId="1" xfId="0" applyNumberFormat="1" applyFont="1" applyFill="1" applyBorder="1"/>
    <xf numFmtId="4" fontId="10" fillId="7" borderId="1" xfId="0" applyNumberFormat="1" applyFont="1" applyFill="1" applyBorder="1" applyAlignment="1">
      <alignment horizontal="center" vertical="center" wrapText="1" shrinkToFit="1" readingOrder="1"/>
    </xf>
    <xf numFmtId="4" fontId="9" fillId="5" borderId="7" xfId="0" applyNumberFormat="1" applyFont="1" applyFill="1" applyBorder="1" applyAlignment="1">
      <alignment horizontal="center" vertical="center" wrapText="1" shrinkToFit="1" readingOrder="1"/>
    </xf>
    <xf numFmtId="4" fontId="9" fillId="5" borderId="2" xfId="0" applyNumberFormat="1" applyFont="1" applyFill="1" applyBorder="1" applyAlignment="1">
      <alignment horizontal="center" vertical="center" wrapText="1" shrinkToFit="1" readingOrder="1"/>
    </xf>
    <xf numFmtId="4" fontId="9" fillId="5" borderId="3" xfId="0" applyNumberFormat="1" applyFont="1" applyFill="1" applyBorder="1" applyAlignment="1">
      <alignment horizontal="center" vertical="center" wrapText="1" shrinkToFit="1" readingOrder="1"/>
    </xf>
    <xf numFmtId="4" fontId="9" fillId="5" borderId="28" xfId="0" applyNumberFormat="1" applyFont="1" applyFill="1" applyBorder="1" applyAlignment="1">
      <alignment horizontal="center" vertical="center" wrapText="1" shrinkToFit="1" readingOrder="1"/>
    </xf>
    <xf numFmtId="4" fontId="9" fillId="5" borderId="29" xfId="0" applyNumberFormat="1" applyFont="1" applyFill="1" applyBorder="1" applyAlignment="1">
      <alignment horizontal="center" vertical="center" wrapText="1" shrinkToFit="1" readingOrder="1"/>
    </xf>
    <xf numFmtId="4" fontId="9" fillId="5" borderId="30" xfId="0" applyNumberFormat="1" applyFont="1" applyFill="1" applyBorder="1" applyAlignment="1">
      <alignment horizontal="center" vertical="center" wrapText="1" shrinkToFit="1" readingOrder="1"/>
    </xf>
    <xf numFmtId="4" fontId="3" fillId="0" borderId="0" xfId="0" applyNumberFormat="1" applyFont="1" applyAlignment="1">
      <alignment horizontal="left" vertical="top" wrapText="1" shrinkToFit="1" readingOrder="1"/>
    </xf>
    <xf numFmtId="4" fontId="10" fillId="5" borderId="8" xfId="0" applyNumberFormat="1" applyFont="1" applyFill="1" applyBorder="1" applyAlignment="1">
      <alignment horizontal="center" vertical="top" wrapText="1" shrinkToFit="1" readingOrder="1"/>
    </xf>
    <xf numFmtId="4" fontId="10" fillId="5" borderId="23" xfId="0" applyNumberFormat="1" applyFont="1" applyFill="1" applyBorder="1" applyAlignment="1">
      <alignment horizontal="center" vertical="top" wrapText="1" shrinkToFit="1" readingOrder="1"/>
    </xf>
    <xf numFmtId="4" fontId="10" fillId="5" borderId="24" xfId="0" applyNumberFormat="1" applyFont="1" applyFill="1" applyBorder="1" applyAlignment="1">
      <alignment horizontal="center" vertical="top" wrapText="1" shrinkToFit="1" readingOrder="1"/>
    </xf>
    <xf numFmtId="4" fontId="13" fillId="3" borderId="9" xfId="0" applyNumberFormat="1" applyFont="1" applyFill="1" applyBorder="1" applyAlignment="1">
      <alignment horizontal="center" vertical="center" wrapText="1"/>
    </xf>
    <xf numFmtId="4" fontId="13" fillId="3" borderId="10" xfId="0" applyNumberFormat="1" applyFont="1" applyFill="1" applyBorder="1" applyAlignment="1">
      <alignment horizontal="center" vertical="center" wrapText="1"/>
    </xf>
    <xf numFmtId="4" fontId="13" fillId="3" borderId="20" xfId="0" applyNumberFormat="1" applyFont="1" applyFill="1" applyBorder="1" applyAlignment="1">
      <alignment horizontal="center" vertical="center" wrapText="1"/>
    </xf>
    <xf numFmtId="4" fontId="13" fillId="3" borderId="5" xfId="0" applyNumberFormat="1" applyFont="1" applyFill="1" applyBorder="1" applyAlignment="1">
      <alignment horizontal="center" vertical="center" wrapText="1"/>
    </xf>
    <xf numFmtId="4" fontId="13" fillId="3" borderId="6" xfId="0" applyNumberFormat="1" applyFont="1" applyFill="1" applyBorder="1" applyAlignment="1">
      <alignment horizontal="center" vertical="center" wrapText="1"/>
    </xf>
    <xf numFmtId="4" fontId="13" fillId="3" borderId="21" xfId="0" applyNumberFormat="1" applyFont="1" applyFill="1" applyBorder="1" applyAlignment="1">
      <alignment horizontal="center" vertical="center" wrapText="1"/>
    </xf>
    <xf numFmtId="4" fontId="6" fillId="0" borderId="13" xfId="0" applyNumberFormat="1" applyFont="1" applyFill="1" applyBorder="1" applyAlignment="1">
      <alignment horizontal="left" vertical="center" wrapText="1" shrinkToFit="1" readingOrder="1"/>
    </xf>
    <xf numFmtId="4" fontId="6" fillId="0" borderId="27" xfId="0" applyNumberFormat="1" applyFont="1" applyFill="1" applyBorder="1" applyAlignment="1">
      <alignment horizontal="left" vertical="center" wrapText="1" shrinkToFit="1" readingOrder="1"/>
    </xf>
    <xf numFmtId="4" fontId="6" fillId="0" borderId="12" xfId="0" applyNumberFormat="1" applyFont="1" applyFill="1" applyBorder="1" applyAlignment="1">
      <alignment horizontal="left" vertical="center" wrapText="1" shrinkToFit="1" readingOrder="1"/>
    </xf>
    <xf numFmtId="4" fontId="6" fillId="0" borderId="14" xfId="0" applyNumberFormat="1" applyFont="1" applyFill="1" applyBorder="1" applyAlignment="1">
      <alignment horizontal="left" vertical="center" wrapText="1" shrinkToFit="1" readingOrder="1"/>
    </xf>
    <xf numFmtId="4" fontId="6" fillId="0" borderId="25" xfId="0" applyNumberFormat="1" applyFont="1" applyFill="1" applyBorder="1" applyAlignment="1">
      <alignment horizontal="left" vertical="center" wrapText="1" shrinkToFit="1" readingOrder="1"/>
    </xf>
    <xf numFmtId="4" fontId="6" fillId="0" borderId="26" xfId="0" applyNumberFormat="1" applyFont="1" applyFill="1" applyBorder="1" applyAlignment="1">
      <alignment horizontal="left" vertical="center" wrapText="1" shrinkToFit="1" readingOrder="1"/>
    </xf>
    <xf numFmtId="4" fontId="9" fillId="2" borderId="8" xfId="0" applyNumberFormat="1" applyFont="1" applyFill="1" applyBorder="1" applyAlignment="1">
      <alignment horizontal="left" vertical="center" wrapText="1" shrinkToFit="1" readingOrder="1"/>
    </xf>
    <xf numFmtId="4" fontId="9" fillId="2" borderId="23" xfId="0" applyNumberFormat="1" applyFont="1" applyFill="1" applyBorder="1" applyAlignment="1">
      <alignment horizontal="left" vertical="center" wrapText="1" shrinkToFit="1" readingOrder="1"/>
    </xf>
    <xf numFmtId="4" fontId="9" fillId="2" borderId="24" xfId="0" applyNumberFormat="1" applyFont="1" applyFill="1" applyBorder="1" applyAlignment="1">
      <alignment horizontal="left" vertical="center" wrapText="1" shrinkToFit="1" readingOrder="1"/>
    </xf>
    <xf numFmtId="4" fontId="9" fillId="5" borderId="8" xfId="0" applyNumberFormat="1" applyFont="1" applyFill="1" applyBorder="1" applyAlignment="1">
      <alignment horizontal="left" vertical="center" wrapText="1" shrinkToFit="1" readingOrder="1"/>
    </xf>
    <xf numFmtId="4" fontId="9" fillId="5" borderId="23" xfId="0" applyNumberFormat="1" applyFont="1" applyFill="1" applyBorder="1" applyAlignment="1">
      <alignment horizontal="left" vertical="center" wrapText="1" shrinkToFit="1" readingOrder="1"/>
    </xf>
    <xf numFmtId="4" fontId="9" fillId="5" borderId="24" xfId="0" applyNumberFormat="1" applyFont="1" applyFill="1" applyBorder="1" applyAlignment="1">
      <alignment horizontal="left" vertical="center" wrapText="1" shrinkToFit="1" readingOrder="1"/>
    </xf>
    <xf numFmtId="4" fontId="10" fillId="3" borderId="10" xfId="0" applyNumberFormat="1" applyFont="1" applyFill="1" applyBorder="1" applyAlignment="1">
      <alignment horizontal="left" vertical="top" wrapText="1" shrinkToFit="1" readingOrder="1"/>
    </xf>
    <xf numFmtId="4" fontId="10" fillId="3" borderId="0" xfId="0" applyNumberFormat="1" applyFont="1" applyFill="1" applyAlignment="1">
      <alignment horizontal="left" vertical="top" wrapText="1" shrinkToFit="1" readingOrder="1"/>
    </xf>
    <xf numFmtId="4" fontId="9" fillId="5" borderId="7" xfId="0" applyNumberFormat="1" applyFont="1" applyFill="1" applyBorder="1" applyAlignment="1">
      <alignment horizontal="left" vertical="center" wrapText="1" shrinkToFit="1" readingOrder="1"/>
    </xf>
    <xf numFmtId="4" fontId="9" fillId="5" borderId="2" xfId="0" applyNumberFormat="1" applyFont="1" applyFill="1" applyBorder="1" applyAlignment="1">
      <alignment horizontal="left" vertical="center" wrapText="1" shrinkToFit="1" readingOrder="1"/>
    </xf>
    <xf numFmtId="4" fontId="9" fillId="5" borderId="3" xfId="0" applyNumberFormat="1" applyFont="1" applyFill="1" applyBorder="1" applyAlignment="1">
      <alignment horizontal="left" vertical="center" wrapText="1" shrinkToFit="1" readingOrder="1"/>
    </xf>
    <xf numFmtId="4" fontId="28" fillId="5" borderId="7" xfId="0" applyNumberFormat="1" applyFont="1" applyFill="1" applyBorder="1" applyAlignment="1">
      <alignment horizontal="center" vertical="center" wrapText="1" shrinkToFit="1" readingOrder="1"/>
    </xf>
    <xf numFmtId="4" fontId="28" fillId="5" borderId="2" xfId="0" applyNumberFormat="1" applyFont="1" applyFill="1" applyBorder="1" applyAlignment="1">
      <alignment horizontal="center" vertical="center" wrapText="1" shrinkToFit="1" readingOrder="1"/>
    </xf>
    <xf numFmtId="4" fontId="28" fillId="5" borderId="3" xfId="0" applyNumberFormat="1" applyFont="1" applyFill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FFFFFF"/>
      <rgbColor rgb="00ECEEF2"/>
      <rgbColor rgb="00AEB6C1"/>
      <rgbColor rgb="000070C0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AP331"/>
  <sheetViews>
    <sheetView tabSelected="1" view="pageBreakPreview" topLeftCell="C1" zoomScale="40" zoomScaleNormal="100" zoomScaleSheetLayoutView="40" workbookViewId="0">
      <pane ySplit="2640" topLeftCell="A304" activePane="bottomLeft"/>
      <selection activeCell="AC5" sqref="AC5"/>
      <selection pane="bottomLeft" activeCell="S304" sqref="S304"/>
    </sheetView>
  </sheetViews>
  <sheetFormatPr baseColWidth="10" defaultColWidth="8.88671875" defaultRowHeight="27.6" customHeight="1" x14ac:dyDescent="0.4"/>
  <cols>
    <col min="1" max="1" width="17.5546875" style="3" customWidth="1"/>
    <col min="2" max="2" width="57.5546875" style="4" customWidth="1"/>
    <col min="3" max="3" width="11.21875" style="10" customWidth="1"/>
    <col min="4" max="4" width="13.44140625" style="8" customWidth="1"/>
    <col min="5" max="5" width="13.44140625" style="69" customWidth="1"/>
    <col min="6" max="6" width="22.5546875" style="2" customWidth="1"/>
    <col min="7" max="25" width="22.5546875" style="1" customWidth="1"/>
    <col min="26" max="26" width="29.33203125" style="1" customWidth="1"/>
    <col min="27" max="27" width="1.5546875" style="11" customWidth="1"/>
    <col min="28" max="28" width="8.88671875" style="1"/>
    <col min="29" max="29" width="20.44140625" style="1" customWidth="1"/>
    <col min="30" max="30" width="28.88671875" style="1" customWidth="1"/>
    <col min="31" max="31" width="8.88671875" style="1"/>
    <col min="32" max="32" width="19" style="1" customWidth="1"/>
    <col min="33" max="34" width="8.88671875" style="1"/>
    <col min="35" max="35" width="21.6640625" style="1" customWidth="1"/>
    <col min="36" max="37" width="8.88671875" style="1"/>
    <col min="38" max="38" width="13.33203125" style="1" customWidth="1"/>
    <col min="39" max="41" width="8.88671875" style="1"/>
    <col min="42" max="42" width="21.109375" style="1" customWidth="1"/>
    <col min="43" max="16384" width="8.88671875" style="1"/>
  </cols>
  <sheetData>
    <row r="1" spans="1:36" s="91" customFormat="1" ht="71.400000000000006" customHeight="1" x14ac:dyDescent="0.3">
      <c r="A1" s="115" t="s">
        <v>628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7"/>
      <c r="Z1" s="89"/>
      <c r="AA1" s="90"/>
    </row>
    <row r="2" spans="1:36" s="91" customFormat="1" ht="71.400000000000006" customHeight="1" x14ac:dyDescent="0.3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20"/>
      <c r="Z2" s="89"/>
      <c r="AA2" s="90"/>
    </row>
    <row r="3" spans="1:36" ht="27.6" customHeight="1" x14ac:dyDescent="0.3">
      <c r="A3" s="15" t="s">
        <v>232</v>
      </c>
      <c r="B3" s="133" t="s">
        <v>237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75"/>
    </row>
    <row r="4" spans="1:36" ht="27.6" customHeight="1" x14ac:dyDescent="0.3">
      <c r="A4" s="15" t="s">
        <v>234</v>
      </c>
      <c r="B4" s="134" t="s">
        <v>235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73"/>
    </row>
    <row r="5" spans="1:36" ht="27.6" customHeight="1" x14ac:dyDescent="0.3">
      <c r="A5" s="15" t="s">
        <v>233</v>
      </c>
      <c r="B5" s="134" t="s">
        <v>0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73"/>
    </row>
    <row r="6" spans="1:36" ht="27.6" customHeight="1" x14ac:dyDescent="0.3">
      <c r="A6" s="15"/>
      <c r="B6" s="73"/>
      <c r="C6" s="73"/>
      <c r="D6" s="73"/>
      <c r="E6" s="73"/>
      <c r="F6" s="73"/>
      <c r="G6" s="112" t="s">
        <v>593</v>
      </c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4"/>
      <c r="Z6" s="104" t="s">
        <v>595</v>
      </c>
    </row>
    <row r="7" spans="1:36" ht="27.6" customHeight="1" x14ac:dyDescent="0.3">
      <c r="A7" s="112" t="s">
        <v>594</v>
      </c>
      <c r="B7" s="113"/>
      <c r="C7" s="113"/>
      <c r="D7" s="113"/>
      <c r="E7" s="113"/>
      <c r="F7" s="114"/>
      <c r="G7" s="74" t="s">
        <v>609</v>
      </c>
      <c r="H7" s="74" t="s">
        <v>610</v>
      </c>
      <c r="I7" s="74" t="s">
        <v>611</v>
      </c>
      <c r="J7" s="74" t="s">
        <v>612</v>
      </c>
      <c r="K7" s="74" t="s">
        <v>613</v>
      </c>
      <c r="L7" s="74" t="s">
        <v>614</v>
      </c>
      <c r="M7" s="74" t="s">
        <v>615</v>
      </c>
      <c r="N7" s="74" t="s">
        <v>616</v>
      </c>
      <c r="O7" s="74" t="s">
        <v>617</v>
      </c>
      <c r="P7" s="74" t="s">
        <v>618</v>
      </c>
      <c r="Q7" s="74" t="s">
        <v>619</v>
      </c>
      <c r="R7" s="74" t="s">
        <v>620</v>
      </c>
      <c r="S7" s="74" t="s">
        <v>621</v>
      </c>
      <c r="T7" s="74" t="s">
        <v>622</v>
      </c>
      <c r="U7" s="74" t="s">
        <v>623</v>
      </c>
      <c r="V7" s="74" t="s">
        <v>624</v>
      </c>
      <c r="W7" s="74" t="s">
        <v>625</v>
      </c>
      <c r="X7" s="74" t="s">
        <v>626</v>
      </c>
      <c r="Y7" s="74" t="s">
        <v>627</v>
      </c>
      <c r="Z7" s="104"/>
      <c r="AF7" s="1">
        <f>SUM(G7:Y7)</f>
        <v>0</v>
      </c>
      <c r="AH7" s="1">
        <v>540</v>
      </c>
      <c r="AJ7" s="1">
        <f>AH7-AF7</f>
        <v>540</v>
      </c>
    </row>
    <row r="8" spans="1:36" s="49" customFormat="1" ht="27.6" customHeight="1" x14ac:dyDescent="0.3">
      <c r="A8" s="108" t="s">
        <v>1</v>
      </c>
      <c r="B8" s="135" t="s">
        <v>2</v>
      </c>
      <c r="C8" s="105" t="s">
        <v>3</v>
      </c>
      <c r="D8" s="105" t="s">
        <v>4</v>
      </c>
      <c r="E8" s="138" t="s">
        <v>5</v>
      </c>
      <c r="F8" s="105" t="s">
        <v>6</v>
      </c>
      <c r="G8" s="47" t="s">
        <v>599</v>
      </c>
      <c r="H8" s="48" t="s">
        <v>606</v>
      </c>
      <c r="I8" s="47" t="s">
        <v>601</v>
      </c>
      <c r="J8" s="48" t="s">
        <v>602</v>
      </c>
      <c r="K8" s="47" t="s">
        <v>603</v>
      </c>
      <c r="L8" s="48" t="s">
        <v>604</v>
      </c>
      <c r="M8" s="47" t="s">
        <v>605</v>
      </c>
      <c r="N8" s="48" t="s">
        <v>607</v>
      </c>
      <c r="O8" s="47" t="s">
        <v>608</v>
      </c>
      <c r="P8" s="47" t="s">
        <v>596</v>
      </c>
      <c r="Q8" s="47" t="s">
        <v>597</v>
      </c>
      <c r="R8" s="47" t="s">
        <v>598</v>
      </c>
      <c r="S8" s="47" t="s">
        <v>599</v>
      </c>
      <c r="T8" s="47" t="s">
        <v>600</v>
      </c>
      <c r="U8" s="47" t="s">
        <v>601</v>
      </c>
      <c r="V8" s="47" t="s">
        <v>602</v>
      </c>
      <c r="W8" s="47" t="s">
        <v>603</v>
      </c>
      <c r="X8" s="47" t="s">
        <v>604</v>
      </c>
      <c r="Y8" s="47" t="s">
        <v>605</v>
      </c>
      <c r="Z8" s="104"/>
      <c r="AA8" s="11"/>
    </row>
    <row r="9" spans="1:36" s="52" customFormat="1" ht="42.6" customHeight="1" x14ac:dyDescent="0.35">
      <c r="A9" s="109"/>
      <c r="B9" s="136"/>
      <c r="C9" s="106"/>
      <c r="D9" s="106"/>
      <c r="E9" s="139"/>
      <c r="F9" s="106"/>
      <c r="G9" s="50" t="s">
        <v>569</v>
      </c>
      <c r="H9" s="51" t="s">
        <v>7</v>
      </c>
      <c r="I9" s="51" t="s">
        <v>8</v>
      </c>
      <c r="J9" s="51" t="s">
        <v>9</v>
      </c>
      <c r="K9" s="51" t="s">
        <v>10</v>
      </c>
      <c r="L9" s="51" t="s">
        <v>11</v>
      </c>
      <c r="M9" s="51" t="s">
        <v>12</v>
      </c>
      <c r="N9" s="51" t="s">
        <v>13</v>
      </c>
      <c r="O9" s="51" t="s">
        <v>571</v>
      </c>
      <c r="P9" s="50" t="s">
        <v>572</v>
      </c>
      <c r="Q9" s="50" t="s">
        <v>573</v>
      </c>
      <c r="R9" s="50" t="s">
        <v>574</v>
      </c>
      <c r="S9" s="50" t="s">
        <v>575</v>
      </c>
      <c r="T9" s="50" t="s">
        <v>570</v>
      </c>
      <c r="U9" s="50" t="s">
        <v>576</v>
      </c>
      <c r="V9" s="50" t="s">
        <v>577</v>
      </c>
      <c r="W9" s="50" t="s">
        <v>578</v>
      </c>
      <c r="X9" s="50" t="s">
        <v>579</v>
      </c>
      <c r="Y9" s="50" t="s">
        <v>590</v>
      </c>
      <c r="Z9" s="104"/>
      <c r="AA9" s="12"/>
    </row>
    <row r="10" spans="1:36" s="52" customFormat="1" ht="42.6" customHeight="1" x14ac:dyDescent="0.35">
      <c r="A10" s="110"/>
      <c r="B10" s="137"/>
      <c r="C10" s="107"/>
      <c r="D10" s="107"/>
      <c r="E10" s="140"/>
      <c r="F10" s="107"/>
      <c r="G10" s="53" t="s">
        <v>14</v>
      </c>
      <c r="H10" s="54" t="s">
        <v>15</v>
      </c>
      <c r="I10" s="53" t="s">
        <v>16</v>
      </c>
      <c r="J10" s="55" t="s">
        <v>17</v>
      </c>
      <c r="K10" s="53" t="s">
        <v>18</v>
      </c>
      <c r="L10" s="55" t="s">
        <v>19</v>
      </c>
      <c r="M10" s="53" t="s">
        <v>20</v>
      </c>
      <c r="N10" s="55" t="s">
        <v>580</v>
      </c>
      <c r="O10" s="54" t="s">
        <v>581</v>
      </c>
      <c r="P10" s="53" t="s">
        <v>582</v>
      </c>
      <c r="Q10" s="53" t="s">
        <v>583</v>
      </c>
      <c r="R10" s="53" t="s">
        <v>584</v>
      </c>
      <c r="S10" s="53" t="s">
        <v>585</v>
      </c>
      <c r="T10" s="53" t="s">
        <v>586</v>
      </c>
      <c r="U10" s="53" t="s">
        <v>587</v>
      </c>
      <c r="V10" s="53" t="s">
        <v>588</v>
      </c>
      <c r="W10" s="53" t="s">
        <v>589</v>
      </c>
      <c r="X10" s="53" t="s">
        <v>591</v>
      </c>
      <c r="Y10" s="53" t="s">
        <v>592</v>
      </c>
      <c r="Z10" s="104"/>
      <c r="AA10" s="12"/>
    </row>
    <row r="11" spans="1:36" ht="46.95" customHeight="1" x14ac:dyDescent="0.3">
      <c r="A11" s="23" t="s">
        <v>238</v>
      </c>
      <c r="B11" s="24" t="s">
        <v>21</v>
      </c>
      <c r="C11" s="42"/>
      <c r="D11" s="36"/>
      <c r="E11" s="39"/>
      <c r="F11" s="46">
        <f t="shared" ref="F11:Y11" si="0">F12+F20</f>
        <v>2326124.85</v>
      </c>
      <c r="G11" s="81">
        <v>65153.22</v>
      </c>
      <c r="H11" s="81">
        <v>94423.28</v>
      </c>
      <c r="I11" s="81">
        <v>328436.61</v>
      </c>
      <c r="J11" s="81">
        <v>108377.39</v>
      </c>
      <c r="K11" s="81">
        <v>237557.88</v>
      </c>
      <c r="L11" s="81">
        <v>321612.76</v>
      </c>
      <c r="M11" s="81">
        <v>109801.8</v>
      </c>
      <c r="N11" s="81">
        <v>270100.94</v>
      </c>
      <c r="O11" s="81">
        <v>260382.51000000004</v>
      </c>
      <c r="P11" s="81">
        <f t="shared" si="0"/>
        <v>39463.9</v>
      </c>
      <c r="Q11" s="60">
        <f t="shared" si="0"/>
        <v>50588.278333333292</v>
      </c>
      <c r="R11" s="60">
        <f t="shared" si="0"/>
        <v>23678.418333333335</v>
      </c>
      <c r="S11" s="60">
        <f t="shared" si="0"/>
        <v>136741.18666666665</v>
      </c>
      <c r="T11" s="60">
        <f t="shared" si="0"/>
        <v>101092.42666666667</v>
      </c>
      <c r="U11" s="60">
        <f t="shared" si="0"/>
        <v>99292.426666666666</v>
      </c>
      <c r="V11" s="60">
        <f t="shared" si="0"/>
        <v>16909.823333333337</v>
      </c>
      <c r="W11" s="60">
        <f t="shared" si="0"/>
        <v>16909.823333333337</v>
      </c>
      <c r="X11" s="60">
        <f t="shared" si="0"/>
        <v>16909.823333333337</v>
      </c>
      <c r="Y11" s="60">
        <f t="shared" si="0"/>
        <v>28692.357017543865</v>
      </c>
      <c r="Z11" s="94">
        <f>SUM(G11:Y11)</f>
        <v>2326124.8536842102</v>
      </c>
      <c r="AD11" s="59">
        <f>SUM(G11:Y11)</f>
        <v>2326124.8536842102</v>
      </c>
      <c r="AF11" s="59">
        <f>F11-AD11</f>
        <v>-3.6842101253569126E-3</v>
      </c>
    </row>
    <row r="12" spans="1:36" s="14" customFormat="1" ht="46.95" customHeight="1" x14ac:dyDescent="0.3">
      <c r="A12" s="25" t="s">
        <v>239</v>
      </c>
      <c r="B12" s="16" t="s">
        <v>22</v>
      </c>
      <c r="C12" s="43"/>
      <c r="D12" s="37"/>
      <c r="E12" s="67"/>
      <c r="F12" s="37">
        <f t="shared" ref="F12:Y12" si="1">SUM(F13:F19)</f>
        <v>579919.59</v>
      </c>
      <c r="G12" s="82">
        <v>65153.22</v>
      </c>
      <c r="H12" s="82">
        <v>67530.97</v>
      </c>
      <c r="I12" s="82">
        <v>92786.22</v>
      </c>
      <c r="J12" s="82">
        <v>17726</v>
      </c>
      <c r="K12" s="82">
        <v>23756</v>
      </c>
      <c r="L12" s="82">
        <v>32198</v>
      </c>
      <c r="M12" s="82">
        <v>24292</v>
      </c>
      <c r="N12" s="82">
        <v>57944.45</v>
      </c>
      <c r="O12" s="82">
        <v>38750.6</v>
      </c>
      <c r="P12" s="82">
        <f t="shared" si="1"/>
        <v>22483</v>
      </c>
      <c r="Q12" s="32">
        <f t="shared" si="1"/>
        <v>16146.288888888892</v>
      </c>
      <c r="R12" s="32">
        <f t="shared" si="1"/>
        <v>16146.288888888892</v>
      </c>
      <c r="S12" s="32">
        <f t="shared" si="1"/>
        <v>16146.288888888892</v>
      </c>
      <c r="T12" s="32">
        <f t="shared" si="1"/>
        <v>14346.288888888892</v>
      </c>
      <c r="U12" s="32">
        <f t="shared" si="1"/>
        <v>12546.288888888892</v>
      </c>
      <c r="V12" s="32">
        <f t="shared" si="1"/>
        <v>12546.288888888892</v>
      </c>
      <c r="W12" s="32">
        <f t="shared" si="1"/>
        <v>12546.288888888892</v>
      </c>
      <c r="X12" s="32">
        <f t="shared" si="1"/>
        <v>12546.288888888892</v>
      </c>
      <c r="Y12" s="32">
        <f t="shared" si="1"/>
        <v>24328.82257309942</v>
      </c>
      <c r="Z12" s="95">
        <f t="shared" ref="Z12:Z75" si="2">SUM(G12:Y12)</f>
        <v>579919.59368421056</v>
      </c>
      <c r="AA12" s="13"/>
      <c r="AD12" s="59">
        <f t="shared" ref="AD12:AD74" si="3">SUM(G12:Y12)</f>
        <v>579919.59368421056</v>
      </c>
      <c r="AF12" s="59">
        <f t="shared" ref="AF12:AF74" si="4">F12-AD12</f>
        <v>-3.6842105910181999E-3</v>
      </c>
    </row>
    <row r="13" spans="1:36" ht="46.95" customHeight="1" x14ac:dyDescent="0.3">
      <c r="A13" s="26" t="s">
        <v>240</v>
      </c>
      <c r="B13" s="17" t="s">
        <v>23</v>
      </c>
      <c r="C13" s="22" t="s">
        <v>24</v>
      </c>
      <c r="D13" s="38">
        <v>1</v>
      </c>
      <c r="E13" s="39">
        <v>27000</v>
      </c>
      <c r="F13" s="38">
        <v>27000</v>
      </c>
      <c r="G13" s="83">
        <v>13500</v>
      </c>
      <c r="H13" s="83"/>
      <c r="I13" s="83"/>
      <c r="J13" s="83"/>
      <c r="K13" s="83"/>
      <c r="L13" s="83"/>
      <c r="M13" s="83"/>
      <c r="N13" s="83"/>
      <c r="O13" s="83"/>
      <c r="P13" s="83"/>
      <c r="Q13" s="33"/>
      <c r="R13" s="33"/>
      <c r="S13" s="33"/>
      <c r="T13" s="33"/>
      <c r="U13" s="33"/>
      <c r="V13" s="33"/>
      <c r="W13" s="33"/>
      <c r="X13" s="33"/>
      <c r="Y13" s="33">
        <f>F13/2</f>
        <v>13500</v>
      </c>
      <c r="Z13" s="96">
        <f t="shared" si="2"/>
        <v>27000</v>
      </c>
      <c r="AD13" s="59">
        <f t="shared" si="3"/>
        <v>27000</v>
      </c>
      <c r="AF13" s="59">
        <f t="shared" si="4"/>
        <v>0</v>
      </c>
    </row>
    <row r="14" spans="1:36" ht="46.95" customHeight="1" x14ac:dyDescent="0.3">
      <c r="A14" s="26" t="s">
        <v>241</v>
      </c>
      <c r="B14" s="17" t="s">
        <v>25</v>
      </c>
      <c r="C14" s="22" t="s">
        <v>26</v>
      </c>
      <c r="D14" s="38">
        <v>18</v>
      </c>
      <c r="E14" s="39">
        <v>7000</v>
      </c>
      <c r="F14" s="38">
        <v>126000</v>
      </c>
      <c r="G14" s="83">
        <v>1400</v>
      </c>
      <c r="H14" s="83">
        <v>6766.67</v>
      </c>
      <c r="I14" s="83">
        <v>7000</v>
      </c>
      <c r="J14" s="83">
        <v>7000</v>
      </c>
      <c r="K14" s="83">
        <v>7000</v>
      </c>
      <c r="L14" s="83">
        <v>7000</v>
      </c>
      <c r="M14" s="83">
        <v>7000</v>
      </c>
      <c r="N14" s="83">
        <v>7000</v>
      </c>
      <c r="O14" s="83">
        <v>7000</v>
      </c>
      <c r="P14" s="83">
        <v>7000</v>
      </c>
      <c r="Q14" s="33">
        <v>7000</v>
      </c>
      <c r="R14" s="33">
        <v>7000</v>
      </c>
      <c r="S14" s="33">
        <v>7000</v>
      </c>
      <c r="T14" s="33">
        <v>7000</v>
      </c>
      <c r="U14" s="33">
        <v>7000</v>
      </c>
      <c r="V14" s="33">
        <v>7000</v>
      </c>
      <c r="W14" s="33">
        <v>7000</v>
      </c>
      <c r="X14" s="33">
        <v>7000</v>
      </c>
      <c r="Y14" s="33">
        <v>5833.33</v>
      </c>
      <c r="Z14" s="96">
        <f t="shared" si="2"/>
        <v>126000</v>
      </c>
      <c r="AD14" s="59">
        <f t="shared" si="3"/>
        <v>126000</v>
      </c>
      <c r="AF14" s="59">
        <f>F14-AD14</f>
        <v>0</v>
      </c>
    </row>
    <row r="15" spans="1:36" ht="46.95" customHeight="1" x14ac:dyDescent="0.3">
      <c r="A15" s="26" t="s">
        <v>242</v>
      </c>
      <c r="B15" s="17" t="s">
        <v>27</v>
      </c>
      <c r="C15" s="22" t="s">
        <v>28</v>
      </c>
      <c r="D15" s="38">
        <v>210</v>
      </c>
      <c r="E15" s="39">
        <v>733.45</v>
      </c>
      <c r="F15" s="38">
        <v>154024.5</v>
      </c>
      <c r="G15" s="83">
        <v>46940.800000000003</v>
      </c>
      <c r="H15" s="83">
        <v>51341.5</v>
      </c>
      <c r="I15" s="83">
        <v>37405.949999999997</v>
      </c>
      <c r="J15" s="83"/>
      <c r="K15" s="83"/>
      <c r="L15" s="83"/>
      <c r="M15" s="83"/>
      <c r="N15" s="83">
        <v>18336.25</v>
      </c>
      <c r="O15" s="83"/>
      <c r="P15" s="83"/>
      <c r="Q15" s="33"/>
      <c r="R15" s="33"/>
      <c r="S15" s="33"/>
      <c r="T15" s="33"/>
      <c r="U15" s="33"/>
      <c r="V15" s="33"/>
      <c r="W15" s="33"/>
      <c r="X15" s="33"/>
      <c r="Y15" s="33"/>
      <c r="Z15" s="96">
        <f t="shared" si="2"/>
        <v>154024.5</v>
      </c>
      <c r="AD15" s="59">
        <f t="shared" si="3"/>
        <v>154024.5</v>
      </c>
      <c r="AF15" s="59">
        <f t="shared" si="4"/>
        <v>0</v>
      </c>
    </row>
    <row r="16" spans="1:36" ht="46.95" customHeight="1" x14ac:dyDescent="0.3">
      <c r="A16" s="26" t="s">
        <v>243</v>
      </c>
      <c r="B16" s="17" t="s">
        <v>29</v>
      </c>
      <c r="C16" s="22" t="s">
        <v>26</v>
      </c>
      <c r="D16" s="38">
        <v>18</v>
      </c>
      <c r="E16" s="39">
        <v>3240</v>
      </c>
      <c r="F16" s="38">
        <v>58320</v>
      </c>
      <c r="G16" s="83">
        <v>648</v>
      </c>
      <c r="H16" s="83">
        <v>3142.8</v>
      </c>
      <c r="I16" s="83">
        <v>3240</v>
      </c>
      <c r="J16" s="83">
        <v>3240</v>
      </c>
      <c r="K16" s="83">
        <v>3240</v>
      </c>
      <c r="L16" s="83">
        <v>3240</v>
      </c>
      <c r="M16" s="83">
        <v>3240</v>
      </c>
      <c r="N16" s="83">
        <v>3240</v>
      </c>
      <c r="O16" s="83">
        <v>3240</v>
      </c>
      <c r="P16" s="83">
        <v>3240</v>
      </c>
      <c r="Q16" s="33">
        <v>3240</v>
      </c>
      <c r="R16" s="33">
        <v>3240</v>
      </c>
      <c r="S16" s="33">
        <v>3240</v>
      </c>
      <c r="T16" s="33">
        <v>3240</v>
      </c>
      <c r="U16" s="33">
        <v>3240</v>
      </c>
      <c r="V16" s="33">
        <v>3240</v>
      </c>
      <c r="W16" s="33">
        <v>3240</v>
      </c>
      <c r="X16" s="33">
        <v>3240</v>
      </c>
      <c r="Y16" s="33">
        <v>2689.2036842105263</v>
      </c>
      <c r="Z16" s="96">
        <f t="shared" si="2"/>
        <v>58320.003684210533</v>
      </c>
      <c r="AD16" s="59">
        <f t="shared" si="3"/>
        <v>58320.003684210533</v>
      </c>
      <c r="AF16" s="59">
        <f t="shared" si="4"/>
        <v>-3.684210532810539E-3</v>
      </c>
    </row>
    <row r="17" spans="1:32" ht="46.95" customHeight="1" x14ac:dyDescent="0.3">
      <c r="A17" s="26" t="s">
        <v>244</v>
      </c>
      <c r="B17" s="17" t="s">
        <v>30</v>
      </c>
      <c r="C17" s="22" t="s">
        <v>24</v>
      </c>
      <c r="D17" s="38">
        <v>2</v>
      </c>
      <c r="E17" s="39">
        <v>1332.21</v>
      </c>
      <c r="F17" s="38">
        <v>2664.42</v>
      </c>
      <c r="G17" s="83">
        <v>2664.42</v>
      </c>
      <c r="H17" s="83"/>
      <c r="I17" s="83"/>
      <c r="J17" s="83"/>
      <c r="K17" s="83"/>
      <c r="L17" s="83"/>
      <c r="M17" s="83"/>
      <c r="N17" s="83"/>
      <c r="O17" s="83"/>
      <c r="P17" s="83"/>
      <c r="Q17" s="33"/>
      <c r="R17" s="33"/>
      <c r="S17" s="33"/>
      <c r="T17" s="33"/>
      <c r="U17" s="33"/>
      <c r="V17" s="33"/>
      <c r="W17" s="33"/>
      <c r="X17" s="33"/>
      <c r="Y17" s="33"/>
      <c r="Z17" s="96">
        <f t="shared" si="2"/>
        <v>2664.42</v>
      </c>
      <c r="AD17" s="59">
        <f t="shared" si="3"/>
        <v>2664.42</v>
      </c>
      <c r="AF17" s="59">
        <f t="shared" si="4"/>
        <v>0</v>
      </c>
    </row>
    <row r="18" spans="1:32" ht="46.95" customHeight="1" x14ac:dyDescent="0.3">
      <c r="A18" s="26" t="s">
        <v>245</v>
      </c>
      <c r="B18" s="17" t="s">
        <v>31</v>
      </c>
      <c r="C18" s="22" t="s">
        <v>32</v>
      </c>
      <c r="D18" s="38">
        <v>12456.02</v>
      </c>
      <c r="E18" s="39">
        <v>13.4</v>
      </c>
      <c r="F18" s="38">
        <f>ROUND(D18*E18,2)</f>
        <v>166910.67000000001</v>
      </c>
      <c r="G18" s="83"/>
      <c r="H18" s="83">
        <v>2680</v>
      </c>
      <c r="I18" s="83">
        <v>41540.269999999997</v>
      </c>
      <c r="J18" s="83">
        <v>3886</v>
      </c>
      <c r="K18" s="83">
        <v>9916</v>
      </c>
      <c r="L18" s="83">
        <v>18358</v>
      </c>
      <c r="M18" s="83">
        <v>10452</v>
      </c>
      <c r="N18" s="83">
        <v>25768.2</v>
      </c>
      <c r="O18" s="83">
        <v>24910.6</v>
      </c>
      <c r="P18" s="83">
        <v>8643</v>
      </c>
      <c r="Q18" s="33">
        <f>(F18-SUM(G18:P18))/9</f>
        <v>2306.2888888888929</v>
      </c>
      <c r="R18" s="33">
        <f>$Q$18</f>
        <v>2306.2888888888929</v>
      </c>
      <c r="S18" s="33">
        <f t="shared" ref="S18:Y18" si="5">$Q$18</f>
        <v>2306.2888888888929</v>
      </c>
      <c r="T18" s="33">
        <f t="shared" si="5"/>
        <v>2306.2888888888929</v>
      </c>
      <c r="U18" s="33">
        <f t="shared" si="5"/>
        <v>2306.2888888888929</v>
      </c>
      <c r="V18" s="33">
        <f t="shared" si="5"/>
        <v>2306.2888888888929</v>
      </c>
      <c r="W18" s="33">
        <f t="shared" si="5"/>
        <v>2306.2888888888929</v>
      </c>
      <c r="X18" s="33">
        <f t="shared" si="5"/>
        <v>2306.2888888888929</v>
      </c>
      <c r="Y18" s="33">
        <f t="shared" si="5"/>
        <v>2306.2888888888929</v>
      </c>
      <c r="Z18" s="96">
        <f t="shared" si="2"/>
        <v>166910.67000000007</v>
      </c>
      <c r="AD18" s="59">
        <f t="shared" si="3"/>
        <v>166910.67000000007</v>
      </c>
      <c r="AF18" s="59">
        <f t="shared" si="4"/>
        <v>0</v>
      </c>
    </row>
    <row r="19" spans="1:32" ht="46.95" customHeight="1" x14ac:dyDescent="0.3">
      <c r="A19" s="26" t="s">
        <v>246</v>
      </c>
      <c r="B19" s="17" t="s">
        <v>33</v>
      </c>
      <c r="C19" s="22" t="s">
        <v>24</v>
      </c>
      <c r="D19" s="38">
        <v>1</v>
      </c>
      <c r="E19" s="39">
        <v>45000</v>
      </c>
      <c r="F19" s="38">
        <v>45000</v>
      </c>
      <c r="G19" s="83"/>
      <c r="H19" s="83">
        <v>3600</v>
      </c>
      <c r="I19" s="83">
        <v>3600</v>
      </c>
      <c r="J19" s="83">
        <v>3600</v>
      </c>
      <c r="K19" s="83">
        <v>3600</v>
      </c>
      <c r="L19" s="83">
        <v>3600</v>
      </c>
      <c r="M19" s="83">
        <v>3600</v>
      </c>
      <c r="N19" s="83">
        <v>3600</v>
      </c>
      <c r="O19" s="83">
        <v>3600</v>
      </c>
      <c r="P19" s="83">
        <v>3600</v>
      </c>
      <c r="Q19" s="33">
        <v>3600</v>
      </c>
      <c r="R19" s="33">
        <v>3600</v>
      </c>
      <c r="S19" s="33">
        <v>3600</v>
      </c>
      <c r="T19" s="33">
        <v>1800</v>
      </c>
      <c r="U19" s="33"/>
      <c r="V19" s="33"/>
      <c r="W19" s="33"/>
      <c r="X19" s="33"/>
      <c r="Y19" s="33"/>
      <c r="Z19" s="96">
        <f t="shared" si="2"/>
        <v>45000</v>
      </c>
      <c r="AD19" s="59">
        <f t="shared" si="3"/>
        <v>45000</v>
      </c>
      <c r="AF19" s="59">
        <f t="shared" si="4"/>
        <v>0</v>
      </c>
    </row>
    <row r="20" spans="1:32" s="14" customFormat="1" ht="46.95" customHeight="1" x14ac:dyDescent="0.3">
      <c r="A20" s="27" t="s">
        <v>247</v>
      </c>
      <c r="B20" s="18" t="s">
        <v>34</v>
      </c>
      <c r="C20" s="43"/>
      <c r="D20" s="37"/>
      <c r="E20" s="67"/>
      <c r="F20" s="37">
        <f t="shared" ref="F20:Y20" si="6">SUM(F21:F32)</f>
        <v>1746205.26</v>
      </c>
      <c r="G20" s="82">
        <v>0</v>
      </c>
      <c r="H20" s="82">
        <v>26892.309999999998</v>
      </c>
      <c r="I20" s="82">
        <v>235650.38999999998</v>
      </c>
      <c r="J20" s="82">
        <v>90651.39</v>
      </c>
      <c r="K20" s="82">
        <v>213801.88</v>
      </c>
      <c r="L20" s="82">
        <v>289414.76</v>
      </c>
      <c r="M20" s="82">
        <v>85509.8</v>
      </c>
      <c r="N20" s="82">
        <v>212156.49</v>
      </c>
      <c r="O20" s="82">
        <v>221631.91000000003</v>
      </c>
      <c r="P20" s="82">
        <f t="shared" si="6"/>
        <v>16980.900000000001</v>
      </c>
      <c r="Q20" s="32">
        <f t="shared" si="6"/>
        <v>34441.9894444444</v>
      </c>
      <c r="R20" s="32">
        <f t="shared" si="6"/>
        <v>7532.1294444444429</v>
      </c>
      <c r="S20" s="32">
        <f>SUM(S21:S32)</f>
        <v>120594.89777777776</v>
      </c>
      <c r="T20" s="32">
        <f t="shared" si="6"/>
        <v>86746.137777777782</v>
      </c>
      <c r="U20" s="32">
        <f t="shared" si="6"/>
        <v>86746.137777777782</v>
      </c>
      <c r="V20" s="32">
        <f t="shared" si="6"/>
        <v>4363.5344444444454</v>
      </c>
      <c r="W20" s="32">
        <f t="shared" si="6"/>
        <v>4363.5344444444454</v>
      </c>
      <c r="X20" s="32">
        <f t="shared" si="6"/>
        <v>4363.5344444444454</v>
      </c>
      <c r="Y20" s="32">
        <f t="shared" si="6"/>
        <v>4363.5344444444454</v>
      </c>
      <c r="Z20" s="95">
        <f t="shared" si="2"/>
        <v>1746205.26</v>
      </c>
      <c r="AA20" s="13"/>
      <c r="AD20" s="59">
        <f t="shared" si="3"/>
        <v>1746205.26</v>
      </c>
      <c r="AF20" s="59">
        <f t="shared" si="4"/>
        <v>0</v>
      </c>
    </row>
    <row r="21" spans="1:32" ht="46.95" customHeight="1" x14ac:dyDescent="0.3">
      <c r="A21" s="26" t="s">
        <v>248</v>
      </c>
      <c r="B21" s="17" t="s">
        <v>35</v>
      </c>
      <c r="C21" s="22" t="s">
        <v>28</v>
      </c>
      <c r="D21" s="38">
        <v>62239.56</v>
      </c>
      <c r="E21" s="39">
        <v>1.67</v>
      </c>
      <c r="F21" s="38">
        <f>ROUND(D21*E21,2)</f>
        <v>103940.07</v>
      </c>
      <c r="G21" s="83"/>
      <c r="H21" s="83"/>
      <c r="I21" s="83">
        <v>7414.8</v>
      </c>
      <c r="J21" s="83">
        <v>2905.8</v>
      </c>
      <c r="K21" s="83">
        <v>7414.8</v>
      </c>
      <c r="L21" s="83">
        <v>15013.3</v>
      </c>
      <c r="M21" s="83">
        <v>3321.81</v>
      </c>
      <c r="N21" s="83">
        <v>1722.42</v>
      </c>
      <c r="O21" s="83">
        <v>15965.45</v>
      </c>
      <c r="P21" s="83">
        <v>10909.88</v>
      </c>
      <c r="Q21" s="33">
        <f>(F21-SUM(G21:P21))/9</f>
        <v>4363.5344444444454</v>
      </c>
      <c r="R21" s="33">
        <f>$Q$21</f>
        <v>4363.5344444444454</v>
      </c>
      <c r="S21" s="33">
        <f t="shared" ref="S21:Y21" si="7">$Q$21</f>
        <v>4363.5344444444454</v>
      </c>
      <c r="T21" s="33">
        <f t="shared" si="7"/>
        <v>4363.5344444444454</v>
      </c>
      <c r="U21" s="33">
        <f t="shared" si="7"/>
        <v>4363.5344444444454</v>
      </c>
      <c r="V21" s="33">
        <f t="shared" si="7"/>
        <v>4363.5344444444454</v>
      </c>
      <c r="W21" s="33">
        <f t="shared" si="7"/>
        <v>4363.5344444444454</v>
      </c>
      <c r="X21" s="33">
        <f t="shared" si="7"/>
        <v>4363.5344444444454</v>
      </c>
      <c r="Y21" s="33">
        <f t="shared" si="7"/>
        <v>4363.5344444444454</v>
      </c>
      <c r="Z21" s="96">
        <f t="shared" si="2"/>
        <v>103940.07000000004</v>
      </c>
      <c r="AD21" s="59">
        <f t="shared" si="3"/>
        <v>103940.07000000004</v>
      </c>
      <c r="AF21" s="59">
        <f t="shared" si="4"/>
        <v>0</v>
      </c>
    </row>
    <row r="22" spans="1:32" ht="46.95" customHeight="1" x14ac:dyDescent="0.3">
      <c r="A22" s="26" t="s">
        <v>249</v>
      </c>
      <c r="B22" s="17" t="s">
        <v>36</v>
      </c>
      <c r="C22" s="22" t="s">
        <v>37</v>
      </c>
      <c r="D22" s="38">
        <v>226</v>
      </c>
      <c r="E22" s="39">
        <v>941.99</v>
      </c>
      <c r="F22" s="38">
        <v>212889.74</v>
      </c>
      <c r="G22" s="83"/>
      <c r="H22" s="83"/>
      <c r="I22" s="83"/>
      <c r="J22" s="83"/>
      <c r="K22" s="83"/>
      <c r="L22" s="83">
        <v>19781.79</v>
      </c>
      <c r="M22" s="83">
        <v>941.99</v>
      </c>
      <c r="N22" s="83"/>
      <c r="O22" s="83"/>
      <c r="P22" s="100"/>
      <c r="Q22" s="2"/>
      <c r="R22" s="2"/>
      <c r="S22" s="33">
        <f>(F22-SUM(G22:P22))/3</f>
        <v>64055.32</v>
      </c>
      <c r="T22" s="33">
        <f>S22</f>
        <v>64055.32</v>
      </c>
      <c r="U22" s="33">
        <f>S22</f>
        <v>64055.32</v>
      </c>
      <c r="V22" s="33"/>
      <c r="W22" s="33"/>
      <c r="X22" s="33"/>
      <c r="Y22" s="33"/>
      <c r="Z22" s="96">
        <f t="shared" si="2"/>
        <v>212889.74000000002</v>
      </c>
      <c r="AD22" s="59">
        <f t="shared" si="3"/>
        <v>212889.74000000002</v>
      </c>
      <c r="AF22" s="59">
        <f t="shared" si="4"/>
        <v>0</v>
      </c>
    </row>
    <row r="23" spans="1:32" ht="46.95" customHeight="1" x14ac:dyDescent="0.3">
      <c r="A23" s="26" t="s">
        <v>250</v>
      </c>
      <c r="B23" s="17" t="s">
        <v>38</v>
      </c>
      <c r="C23" s="22" t="s">
        <v>37</v>
      </c>
      <c r="D23" s="38">
        <v>177</v>
      </c>
      <c r="E23" s="39">
        <v>714.05</v>
      </c>
      <c r="F23" s="38">
        <v>126386.85</v>
      </c>
      <c r="G23" s="83"/>
      <c r="H23" s="83"/>
      <c r="I23" s="83"/>
      <c r="J23" s="83"/>
      <c r="K23" s="83"/>
      <c r="L23" s="83">
        <v>28562</v>
      </c>
      <c r="M23" s="83">
        <v>42843</v>
      </c>
      <c r="N23" s="83"/>
      <c r="O23" s="83"/>
      <c r="P23" s="100"/>
      <c r="Q23" s="2"/>
      <c r="R23" s="2"/>
      <c r="S23" s="33">
        <f>(F23-SUM(G23:P23))/3</f>
        <v>18327.283333333336</v>
      </c>
      <c r="T23" s="33">
        <f>S23</f>
        <v>18327.283333333336</v>
      </c>
      <c r="U23" s="33">
        <f>S23</f>
        <v>18327.283333333336</v>
      </c>
      <c r="V23" s="33"/>
      <c r="W23" s="33"/>
      <c r="X23" s="33"/>
      <c r="Y23" s="33"/>
      <c r="Z23" s="96">
        <f t="shared" si="2"/>
        <v>126386.85000000002</v>
      </c>
      <c r="AD23" s="59">
        <f t="shared" si="3"/>
        <v>126386.85000000002</v>
      </c>
      <c r="AF23" s="59">
        <f t="shared" si="4"/>
        <v>0</v>
      </c>
    </row>
    <row r="24" spans="1:32" ht="46.95" customHeight="1" x14ac:dyDescent="0.3">
      <c r="A24" s="26" t="s">
        <v>251</v>
      </c>
      <c r="B24" s="17" t="s">
        <v>39</v>
      </c>
      <c r="C24" s="22" t="s">
        <v>28</v>
      </c>
      <c r="D24" s="38">
        <v>10297.91</v>
      </c>
      <c r="E24" s="39">
        <v>7.43</v>
      </c>
      <c r="F24" s="38">
        <v>76513.47</v>
      </c>
      <c r="G24" s="83"/>
      <c r="H24" s="83"/>
      <c r="I24" s="83">
        <v>11286.17</v>
      </c>
      <c r="J24" s="83"/>
      <c r="K24" s="83"/>
      <c r="L24" s="83"/>
      <c r="M24" s="83">
        <v>11234.16</v>
      </c>
      <c r="N24" s="83">
        <v>21918.5</v>
      </c>
      <c r="O24" s="83">
        <v>28353.99</v>
      </c>
      <c r="P24" s="83"/>
      <c r="Q24" s="33">
        <f>(F24-SUM(G24:P24))</f>
        <v>3720.6499999999942</v>
      </c>
      <c r="R24" s="33"/>
      <c r="S24" s="33"/>
      <c r="T24" s="33"/>
      <c r="U24" s="33"/>
      <c r="V24" s="33"/>
      <c r="W24" s="33"/>
      <c r="X24" s="33"/>
      <c r="Y24" s="33"/>
      <c r="Z24" s="96">
        <f t="shared" si="2"/>
        <v>76513.47</v>
      </c>
      <c r="AD24" s="59">
        <f t="shared" si="3"/>
        <v>76513.47</v>
      </c>
      <c r="AF24" s="59">
        <f t="shared" si="4"/>
        <v>0</v>
      </c>
    </row>
    <row r="25" spans="1:32" ht="46.95" customHeight="1" x14ac:dyDescent="0.3">
      <c r="A25" s="26" t="s">
        <v>252</v>
      </c>
      <c r="B25" s="17" t="s">
        <v>40</v>
      </c>
      <c r="C25" s="22" t="s">
        <v>24</v>
      </c>
      <c r="D25" s="38">
        <v>1</v>
      </c>
      <c r="E25" s="39">
        <v>17000</v>
      </c>
      <c r="F25" s="38">
        <v>17000</v>
      </c>
      <c r="G25" s="83"/>
      <c r="H25" s="83"/>
      <c r="I25" s="83"/>
      <c r="J25" s="83"/>
      <c r="K25" s="83"/>
      <c r="L25" s="83"/>
      <c r="M25" s="83"/>
      <c r="N25" s="83">
        <v>17000</v>
      </c>
      <c r="O25" s="83"/>
      <c r="P25" s="83"/>
      <c r="Q25" s="33"/>
      <c r="R25" s="33"/>
      <c r="S25" s="33"/>
      <c r="T25" s="33"/>
      <c r="U25" s="33"/>
      <c r="V25" s="33"/>
      <c r="W25" s="33"/>
      <c r="X25" s="33"/>
      <c r="Y25" s="33"/>
      <c r="Z25" s="96">
        <f t="shared" si="2"/>
        <v>17000</v>
      </c>
      <c r="AD25" s="59">
        <f t="shared" si="3"/>
        <v>17000</v>
      </c>
      <c r="AF25" s="59">
        <f t="shared" si="4"/>
        <v>0</v>
      </c>
    </row>
    <row r="26" spans="1:32" ht="46.95" customHeight="1" x14ac:dyDescent="0.3">
      <c r="A26" s="26" t="s">
        <v>253</v>
      </c>
      <c r="B26" s="17" t="s">
        <v>41</v>
      </c>
      <c r="C26" s="22" t="s">
        <v>24</v>
      </c>
      <c r="D26" s="38">
        <v>1</v>
      </c>
      <c r="E26" s="39">
        <v>8500</v>
      </c>
      <c r="F26" s="38">
        <v>8500</v>
      </c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33"/>
      <c r="S26" s="33">
        <v>8500</v>
      </c>
      <c r="T26" s="33"/>
      <c r="U26" s="33"/>
      <c r="V26" s="33"/>
      <c r="W26" s="33"/>
      <c r="X26" s="33"/>
      <c r="Y26" s="33"/>
      <c r="Z26" s="96">
        <f t="shared" si="2"/>
        <v>8500</v>
      </c>
      <c r="AD26" s="59">
        <f t="shared" si="3"/>
        <v>8500</v>
      </c>
      <c r="AF26" s="59">
        <f t="shared" si="4"/>
        <v>0</v>
      </c>
    </row>
    <row r="27" spans="1:32" ht="46.95" customHeight="1" x14ac:dyDescent="0.3">
      <c r="A27" s="26" t="s">
        <v>254</v>
      </c>
      <c r="B27" s="17" t="s">
        <v>42</v>
      </c>
      <c r="C27" s="22" t="s">
        <v>28</v>
      </c>
      <c r="D27" s="38">
        <v>7827.56</v>
      </c>
      <c r="E27" s="39">
        <v>22.32</v>
      </c>
      <c r="F27" s="38">
        <v>174711.14</v>
      </c>
      <c r="G27" s="83"/>
      <c r="H27" s="83"/>
      <c r="I27" s="83">
        <v>31886.15</v>
      </c>
      <c r="J27" s="83"/>
      <c r="K27" s="83">
        <v>11448.39</v>
      </c>
      <c r="L27" s="83">
        <v>35707.03</v>
      </c>
      <c r="M27" s="83">
        <v>2314.36</v>
      </c>
      <c r="N27" s="83">
        <v>30697.89</v>
      </c>
      <c r="O27" s="83">
        <v>35998.04</v>
      </c>
      <c r="P27" s="83">
        <v>4312.8900000000003</v>
      </c>
      <c r="Q27" s="33">
        <f>(F27-SUM(G27:P27))</f>
        <v>22346.389999999985</v>
      </c>
      <c r="R27" s="33"/>
      <c r="S27" s="33"/>
      <c r="T27" s="33"/>
      <c r="U27" s="33"/>
      <c r="V27" s="33"/>
      <c r="W27" s="33"/>
      <c r="X27" s="33"/>
      <c r="Y27" s="33"/>
      <c r="Z27" s="96">
        <f t="shared" si="2"/>
        <v>174711.14</v>
      </c>
      <c r="AD27" s="59">
        <f t="shared" si="3"/>
        <v>174711.14</v>
      </c>
      <c r="AF27" s="59">
        <f t="shared" si="4"/>
        <v>0</v>
      </c>
    </row>
    <row r="28" spans="1:32" ht="46.95" customHeight="1" x14ac:dyDescent="0.3">
      <c r="A28" s="26" t="s">
        <v>255</v>
      </c>
      <c r="B28" s="17" t="s">
        <v>43</v>
      </c>
      <c r="C28" s="22" t="s">
        <v>32</v>
      </c>
      <c r="D28" s="38">
        <v>4720.32</v>
      </c>
      <c r="E28" s="39">
        <v>38.31</v>
      </c>
      <c r="F28" s="38">
        <v>180835.46</v>
      </c>
      <c r="G28" s="83"/>
      <c r="H28" s="83"/>
      <c r="I28" s="83">
        <v>38310</v>
      </c>
      <c r="J28" s="83">
        <v>26459.18</v>
      </c>
      <c r="K28" s="83">
        <v>49036.800000000003</v>
      </c>
      <c r="L28" s="83">
        <v>23436.91</v>
      </c>
      <c r="M28" s="83">
        <v>1187.6099999999999</v>
      </c>
      <c r="N28" s="83">
        <v>14342.5</v>
      </c>
      <c r="O28" s="83">
        <v>27219.64</v>
      </c>
      <c r="P28" s="83"/>
      <c r="Q28" s="33">
        <f>(F28-SUM(G28:P28))</f>
        <v>842.81999999997788</v>
      </c>
      <c r="R28" s="33"/>
      <c r="S28" s="33"/>
      <c r="T28" s="33"/>
      <c r="U28" s="33"/>
      <c r="V28" s="33"/>
      <c r="W28" s="33"/>
      <c r="X28" s="33"/>
      <c r="Y28" s="33"/>
      <c r="Z28" s="96">
        <f t="shared" si="2"/>
        <v>180835.46</v>
      </c>
      <c r="AD28" s="59">
        <f t="shared" si="3"/>
        <v>180835.46</v>
      </c>
      <c r="AF28" s="59">
        <f t="shared" si="4"/>
        <v>0</v>
      </c>
    </row>
    <row r="29" spans="1:32" ht="46.95" customHeight="1" x14ac:dyDescent="0.3">
      <c r="A29" s="26" t="s">
        <v>256</v>
      </c>
      <c r="B29" s="17" t="s">
        <v>44</v>
      </c>
      <c r="C29" s="22" t="s">
        <v>32</v>
      </c>
      <c r="D29" s="38">
        <v>1726.44</v>
      </c>
      <c r="E29" s="39">
        <v>63.88</v>
      </c>
      <c r="F29" s="38">
        <v>110284.99</v>
      </c>
      <c r="G29" s="83"/>
      <c r="H29" s="83"/>
      <c r="I29" s="83">
        <v>20485.68</v>
      </c>
      <c r="J29" s="83">
        <v>5278.4</v>
      </c>
      <c r="K29" s="83">
        <v>1975.81</v>
      </c>
      <c r="L29" s="83">
        <v>41281.81</v>
      </c>
      <c r="M29" s="83"/>
      <c r="N29" s="83">
        <v>32445.29</v>
      </c>
      <c r="O29" s="83">
        <v>8818</v>
      </c>
      <c r="P29" s="83"/>
      <c r="Q29" s="33"/>
      <c r="R29" s="33"/>
      <c r="S29" s="33"/>
      <c r="T29" s="33"/>
      <c r="U29" s="33"/>
      <c r="V29" s="33"/>
      <c r="W29" s="33"/>
      <c r="X29" s="33"/>
      <c r="Y29" s="33"/>
      <c r="Z29" s="96">
        <f t="shared" si="2"/>
        <v>110284.98999999999</v>
      </c>
      <c r="AD29" s="59">
        <f t="shared" si="3"/>
        <v>110284.98999999999</v>
      </c>
      <c r="AF29" s="59">
        <f t="shared" si="4"/>
        <v>0</v>
      </c>
    </row>
    <row r="30" spans="1:32" ht="46.95" customHeight="1" x14ac:dyDescent="0.3">
      <c r="A30" s="26" t="s">
        <v>257</v>
      </c>
      <c r="B30" s="17" t="s">
        <v>45</v>
      </c>
      <c r="C30" s="22" t="s">
        <v>28</v>
      </c>
      <c r="D30" s="38">
        <v>23335.18</v>
      </c>
      <c r="E30" s="39">
        <v>13.87</v>
      </c>
      <c r="F30" s="38">
        <v>323658.95</v>
      </c>
      <c r="G30" s="83"/>
      <c r="H30" s="83">
        <v>18949.89</v>
      </c>
      <c r="I30" s="83">
        <v>54412.29</v>
      </c>
      <c r="J30" s="83">
        <v>24592.2</v>
      </c>
      <c r="K30" s="83">
        <v>72914.45</v>
      </c>
      <c r="L30" s="83">
        <v>54072.33</v>
      </c>
      <c r="M30" s="83">
        <v>12453.87</v>
      </c>
      <c r="N30" s="83">
        <v>34690.26</v>
      </c>
      <c r="O30" s="83">
        <v>40045.050000000003</v>
      </c>
      <c r="P30" s="83"/>
      <c r="Q30" s="33">
        <f>(F30-SUM(G30:P30))*0.1</f>
        <v>1152.8610000000044</v>
      </c>
      <c r="R30" s="33">
        <f>(F30-SUM(G30:P30))*0.1</f>
        <v>1152.8610000000044</v>
      </c>
      <c r="S30" s="33">
        <f>(F30-SUM(G30:P30))*0.8</f>
        <v>9222.8880000000354</v>
      </c>
      <c r="T30" s="33"/>
      <c r="U30" s="33"/>
      <c r="V30" s="33"/>
      <c r="W30" s="33"/>
      <c r="X30" s="33"/>
      <c r="Y30" s="33"/>
      <c r="Z30" s="96">
        <f t="shared" si="2"/>
        <v>323658.95000000007</v>
      </c>
      <c r="AD30" s="59">
        <f t="shared" si="3"/>
        <v>323658.95000000007</v>
      </c>
      <c r="AF30" s="59">
        <f t="shared" si="4"/>
        <v>0</v>
      </c>
    </row>
    <row r="31" spans="1:32" ht="46.95" customHeight="1" x14ac:dyDescent="0.3">
      <c r="A31" s="26" t="s">
        <v>258</v>
      </c>
      <c r="B31" s="17" t="s">
        <v>46</v>
      </c>
      <c r="C31" s="22" t="s">
        <v>47</v>
      </c>
      <c r="D31" s="38">
        <v>8140.15</v>
      </c>
      <c r="E31" s="39">
        <v>17.84</v>
      </c>
      <c r="F31" s="38">
        <v>145220.28</v>
      </c>
      <c r="G31" s="83"/>
      <c r="H31" s="83">
        <v>2803.02</v>
      </c>
      <c r="I31" s="83">
        <v>25359.02</v>
      </c>
      <c r="J31" s="83">
        <v>11087.2</v>
      </c>
      <c r="K31" s="83">
        <v>25061.279999999999</v>
      </c>
      <c r="L31" s="83">
        <v>25254.66</v>
      </c>
      <c r="M31" s="83">
        <v>3957.27</v>
      </c>
      <c r="N31" s="83">
        <v>20942.02</v>
      </c>
      <c r="O31" s="83">
        <v>23021.45</v>
      </c>
      <c r="P31" s="83">
        <v>620.48</v>
      </c>
      <c r="Q31" s="33">
        <f>(F31-SUM(G31:P31))*0.1</f>
        <v>711.38799999999765</v>
      </c>
      <c r="R31" s="33">
        <f>(F31-SUM(G31:P31))*0.1</f>
        <v>711.38799999999765</v>
      </c>
      <c r="S31" s="33">
        <f>(F31-SUM(G31:P31))*0.8</f>
        <v>5691.1039999999812</v>
      </c>
      <c r="T31" s="33"/>
      <c r="U31" s="33"/>
      <c r="V31" s="33"/>
      <c r="W31" s="33"/>
      <c r="X31" s="33"/>
      <c r="Y31" s="33"/>
      <c r="Z31" s="96">
        <f t="shared" si="2"/>
        <v>145220.28000000003</v>
      </c>
      <c r="AD31" s="59">
        <f t="shared" si="3"/>
        <v>145220.28000000003</v>
      </c>
      <c r="AF31" s="59">
        <f t="shared" si="4"/>
        <v>0</v>
      </c>
    </row>
    <row r="32" spans="1:32" ht="46.95" customHeight="1" x14ac:dyDescent="0.3">
      <c r="A32" s="26" t="s">
        <v>259</v>
      </c>
      <c r="B32" s="17" t="s">
        <v>48</v>
      </c>
      <c r="C32" s="22" t="s">
        <v>47</v>
      </c>
      <c r="D32" s="38">
        <v>8140.15</v>
      </c>
      <c r="E32" s="39">
        <v>32.71</v>
      </c>
      <c r="F32" s="38">
        <v>266264.31</v>
      </c>
      <c r="G32" s="83"/>
      <c r="H32" s="83">
        <v>5139.3999999999996</v>
      </c>
      <c r="I32" s="83">
        <v>46496.28</v>
      </c>
      <c r="J32" s="83">
        <v>20328.61</v>
      </c>
      <c r="K32" s="83">
        <v>45950.35</v>
      </c>
      <c r="L32" s="83">
        <v>46304.93</v>
      </c>
      <c r="M32" s="83">
        <v>7255.73</v>
      </c>
      <c r="N32" s="83">
        <v>38397.61</v>
      </c>
      <c r="O32" s="83">
        <v>42210.29</v>
      </c>
      <c r="P32" s="83">
        <v>1137.6500000000001</v>
      </c>
      <c r="Q32" s="33">
        <f>(F32-SUM(G32:P32))*0.1</f>
        <v>1304.3459999999964</v>
      </c>
      <c r="R32" s="33">
        <f>(F32-SUM(G32:P32))*0.1</f>
        <v>1304.3459999999964</v>
      </c>
      <c r="S32" s="33">
        <f>(F32-SUM(G32:P32))*0.8</f>
        <v>10434.767999999971</v>
      </c>
      <c r="T32" s="33"/>
      <c r="U32" s="33"/>
      <c r="V32" s="33"/>
      <c r="W32" s="33"/>
      <c r="X32" s="33"/>
      <c r="Y32" s="33"/>
      <c r="Z32" s="96">
        <f t="shared" si="2"/>
        <v>266264.31</v>
      </c>
      <c r="AD32" s="59">
        <f t="shared" si="3"/>
        <v>266264.31</v>
      </c>
      <c r="AF32" s="59">
        <f t="shared" si="4"/>
        <v>0</v>
      </c>
    </row>
    <row r="33" spans="1:32" ht="46.95" customHeight="1" x14ac:dyDescent="0.3">
      <c r="A33" s="28" t="s">
        <v>260</v>
      </c>
      <c r="B33" s="19" t="s">
        <v>49</v>
      </c>
      <c r="C33" s="42"/>
      <c r="D33" s="36"/>
      <c r="E33" s="39"/>
      <c r="F33" s="46">
        <f t="shared" ref="F33:Y33" si="8">F34+F36+F42+F44+F51+F54</f>
        <v>1092700.8599999999</v>
      </c>
      <c r="G33" s="81">
        <v>0</v>
      </c>
      <c r="H33" s="81">
        <v>0</v>
      </c>
      <c r="I33" s="81">
        <v>0</v>
      </c>
      <c r="J33" s="81">
        <v>0</v>
      </c>
      <c r="K33" s="81">
        <v>0</v>
      </c>
      <c r="L33" s="81">
        <v>11279.25</v>
      </c>
      <c r="M33" s="81">
        <v>121000.14</v>
      </c>
      <c r="N33" s="81">
        <v>134727.1</v>
      </c>
      <c r="O33" s="81">
        <v>36469.240000000005</v>
      </c>
      <c r="P33" s="81">
        <f t="shared" si="8"/>
        <v>93586.790000000008</v>
      </c>
      <c r="Q33" s="60">
        <f t="shared" si="8"/>
        <v>33743.266000000003</v>
      </c>
      <c r="R33" s="60">
        <f t="shared" si="8"/>
        <v>236202.86200000002</v>
      </c>
      <c r="S33" s="60">
        <f t="shared" si="8"/>
        <v>404919.19200000004</v>
      </c>
      <c r="T33" s="60">
        <f t="shared" si="8"/>
        <v>14070.220000000001</v>
      </c>
      <c r="U33" s="60">
        <f t="shared" si="8"/>
        <v>6702.8</v>
      </c>
      <c r="V33" s="60">
        <f t="shared" si="8"/>
        <v>0</v>
      </c>
      <c r="W33" s="60">
        <f t="shared" si="8"/>
        <v>0</v>
      </c>
      <c r="X33" s="60">
        <f t="shared" si="8"/>
        <v>0</v>
      </c>
      <c r="Y33" s="60">
        <f t="shared" si="8"/>
        <v>0</v>
      </c>
      <c r="Z33" s="94">
        <f t="shared" si="2"/>
        <v>1092700.8600000001</v>
      </c>
      <c r="AD33" s="59">
        <f t="shared" si="3"/>
        <v>1092700.8600000001</v>
      </c>
      <c r="AF33" s="59">
        <f t="shared" si="4"/>
        <v>0</v>
      </c>
    </row>
    <row r="34" spans="1:32" s="14" customFormat="1" ht="46.95" customHeight="1" x14ac:dyDescent="0.3">
      <c r="A34" s="27" t="s">
        <v>261</v>
      </c>
      <c r="B34" s="18" t="s">
        <v>34</v>
      </c>
      <c r="C34" s="43"/>
      <c r="D34" s="37"/>
      <c r="E34" s="67"/>
      <c r="F34" s="37">
        <f t="shared" ref="F34:Y34" si="9">SUM(F35)</f>
        <v>18010.57</v>
      </c>
      <c r="G34" s="82">
        <v>0</v>
      </c>
      <c r="H34" s="82">
        <v>0</v>
      </c>
      <c r="I34" s="82">
        <v>0</v>
      </c>
      <c r="J34" s="82">
        <v>0</v>
      </c>
      <c r="K34" s="82">
        <v>0</v>
      </c>
      <c r="L34" s="82">
        <v>2116.25</v>
      </c>
      <c r="M34" s="82">
        <v>0</v>
      </c>
      <c r="N34" s="82">
        <v>2195.15</v>
      </c>
      <c r="O34" s="82">
        <v>592.69000000000005</v>
      </c>
      <c r="P34" s="82">
        <f>SUM(P35)</f>
        <v>1483.26</v>
      </c>
      <c r="Q34" s="32">
        <f t="shared" si="9"/>
        <v>581.16099999999994</v>
      </c>
      <c r="R34" s="32">
        <f t="shared" si="9"/>
        <v>4068.1269999999995</v>
      </c>
      <c r="S34" s="32">
        <f>SUM(S35)</f>
        <v>6973.9319999999998</v>
      </c>
      <c r="T34" s="32">
        <f t="shared" si="9"/>
        <v>0</v>
      </c>
      <c r="U34" s="32">
        <f t="shared" si="9"/>
        <v>0</v>
      </c>
      <c r="V34" s="32">
        <f t="shared" si="9"/>
        <v>0</v>
      </c>
      <c r="W34" s="32">
        <f t="shared" si="9"/>
        <v>0</v>
      </c>
      <c r="X34" s="32">
        <f t="shared" si="9"/>
        <v>0</v>
      </c>
      <c r="Y34" s="32">
        <f t="shared" si="9"/>
        <v>0</v>
      </c>
      <c r="Z34" s="95">
        <f t="shared" si="2"/>
        <v>18010.57</v>
      </c>
      <c r="AA34" s="13"/>
      <c r="AD34" s="59">
        <f t="shared" si="3"/>
        <v>18010.57</v>
      </c>
      <c r="AF34" s="59">
        <f t="shared" si="4"/>
        <v>0</v>
      </c>
    </row>
    <row r="35" spans="1:32" ht="46.95" customHeight="1" x14ac:dyDescent="0.3">
      <c r="A35" s="26" t="s">
        <v>262</v>
      </c>
      <c r="B35" s="17" t="s">
        <v>50</v>
      </c>
      <c r="C35" s="22" t="s">
        <v>28</v>
      </c>
      <c r="D35" s="38">
        <v>6364.16</v>
      </c>
      <c r="E35" s="39">
        <v>2.83</v>
      </c>
      <c r="F35" s="38">
        <f>ROUND(D35*E35,2)</f>
        <v>18010.57</v>
      </c>
      <c r="G35" s="83"/>
      <c r="H35" s="83"/>
      <c r="I35" s="83"/>
      <c r="J35" s="83"/>
      <c r="K35" s="83"/>
      <c r="L35" s="83">
        <v>2116.25</v>
      </c>
      <c r="M35" s="83"/>
      <c r="N35" s="83">
        <v>2195.15</v>
      </c>
      <c r="O35" s="83">
        <v>592.69000000000005</v>
      </c>
      <c r="P35" s="83">
        <v>1483.26</v>
      </c>
      <c r="Q35" s="33">
        <f>(F35-SUM(G35:P35))*0.05</f>
        <v>581.16099999999994</v>
      </c>
      <c r="R35" s="33">
        <f>(F35-SUM(G35:P35))*0.35</f>
        <v>4068.1269999999995</v>
      </c>
      <c r="S35" s="33">
        <f>(F35-SUM(G35:P35))*0.6</f>
        <v>6973.9319999999998</v>
      </c>
      <c r="T35" s="33"/>
      <c r="U35" s="33"/>
      <c r="V35" s="33"/>
      <c r="W35" s="33"/>
      <c r="X35" s="33"/>
      <c r="Y35" s="33"/>
      <c r="Z35" s="96">
        <f t="shared" si="2"/>
        <v>18010.57</v>
      </c>
      <c r="AD35" s="59">
        <f t="shared" si="3"/>
        <v>18010.57</v>
      </c>
      <c r="AF35" s="59">
        <f t="shared" si="4"/>
        <v>0</v>
      </c>
    </row>
    <row r="36" spans="1:32" s="14" customFormat="1" ht="46.95" customHeight="1" x14ac:dyDescent="0.3">
      <c r="A36" s="27" t="s">
        <v>263</v>
      </c>
      <c r="B36" s="18" t="s">
        <v>51</v>
      </c>
      <c r="C36" s="43"/>
      <c r="D36" s="37"/>
      <c r="E36" s="67"/>
      <c r="F36" s="37">
        <f t="shared" ref="F36:Y36" si="10">SUM(F37:F41)</f>
        <v>131338.71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9163</v>
      </c>
      <c r="M36" s="82">
        <v>14951.84</v>
      </c>
      <c r="N36" s="82">
        <v>16199.649999999998</v>
      </c>
      <c r="O36" s="82">
        <v>4368.83</v>
      </c>
      <c r="P36" s="82">
        <f t="shared" si="10"/>
        <v>10847.08</v>
      </c>
      <c r="Q36" s="32">
        <f t="shared" si="10"/>
        <v>3790.4155000000005</v>
      </c>
      <c r="R36" s="32">
        <f t="shared" si="10"/>
        <v>26532.908499999998</v>
      </c>
      <c r="S36" s="32">
        <f t="shared" si="10"/>
        <v>45484.98599999999</v>
      </c>
      <c r="T36" s="32">
        <f t="shared" si="10"/>
        <v>0</v>
      </c>
      <c r="U36" s="32">
        <f t="shared" si="10"/>
        <v>0</v>
      </c>
      <c r="V36" s="32">
        <f t="shared" si="10"/>
        <v>0</v>
      </c>
      <c r="W36" s="32">
        <f t="shared" si="10"/>
        <v>0</v>
      </c>
      <c r="X36" s="32">
        <f t="shared" si="10"/>
        <v>0</v>
      </c>
      <c r="Y36" s="32">
        <f t="shared" si="10"/>
        <v>0</v>
      </c>
      <c r="Z36" s="95">
        <f t="shared" si="2"/>
        <v>131338.71</v>
      </c>
      <c r="AA36" s="13"/>
      <c r="AD36" s="59">
        <f t="shared" si="3"/>
        <v>131338.71</v>
      </c>
      <c r="AF36" s="59">
        <f t="shared" si="4"/>
        <v>0</v>
      </c>
    </row>
    <row r="37" spans="1:32" ht="46.95" customHeight="1" x14ac:dyDescent="0.3">
      <c r="A37" s="26" t="s">
        <v>264</v>
      </c>
      <c r="B37" s="17" t="s">
        <v>52</v>
      </c>
      <c r="C37" s="22" t="s">
        <v>47</v>
      </c>
      <c r="D37" s="38">
        <v>636.41999999999996</v>
      </c>
      <c r="E37" s="39">
        <v>61.87</v>
      </c>
      <c r="F37" s="38">
        <f t="shared" ref="F37:F41" si="11">ROUND(D37*E37,2)</f>
        <v>39375.31</v>
      </c>
      <c r="G37" s="83"/>
      <c r="H37" s="83"/>
      <c r="I37" s="83"/>
      <c r="J37" s="83"/>
      <c r="K37" s="83"/>
      <c r="L37" s="83">
        <v>4626.6400000000003</v>
      </c>
      <c r="M37" s="83">
        <v>4626.6400000000003</v>
      </c>
      <c r="N37" s="83">
        <v>4799.26</v>
      </c>
      <c r="O37" s="83">
        <v>1295.56</v>
      </c>
      <c r="P37" s="83">
        <v>3242.61</v>
      </c>
      <c r="Q37" s="33">
        <f t="shared" ref="Q37:Q41" si="12">(F37-SUM(G37:P37))*0.05</f>
        <v>1039.23</v>
      </c>
      <c r="R37" s="33">
        <f t="shared" ref="R37:R41" si="13">(F37-SUM(G37:P37))*0.35</f>
        <v>7274.6099999999988</v>
      </c>
      <c r="S37" s="33">
        <f t="shared" ref="S37:S41" si="14">(F37-SUM(G37:P37))*0.6</f>
        <v>12470.759999999998</v>
      </c>
      <c r="T37" s="33"/>
      <c r="U37" s="33"/>
      <c r="V37" s="33"/>
      <c r="W37" s="33"/>
      <c r="X37" s="33"/>
      <c r="Y37" s="33"/>
      <c r="Z37" s="96">
        <f t="shared" si="2"/>
        <v>39375.31</v>
      </c>
      <c r="AD37" s="59">
        <f t="shared" si="3"/>
        <v>39375.31</v>
      </c>
      <c r="AF37" s="59">
        <f t="shared" si="4"/>
        <v>0</v>
      </c>
    </row>
    <row r="38" spans="1:32" ht="46.95" customHeight="1" x14ac:dyDescent="0.3">
      <c r="A38" s="26" t="s">
        <v>265</v>
      </c>
      <c r="B38" s="17" t="s">
        <v>53</v>
      </c>
      <c r="C38" s="22" t="s">
        <v>47</v>
      </c>
      <c r="D38" s="38">
        <v>171.45</v>
      </c>
      <c r="E38" s="39">
        <v>74.239999999999995</v>
      </c>
      <c r="F38" s="38">
        <f t="shared" si="11"/>
        <v>12728.45</v>
      </c>
      <c r="G38" s="83"/>
      <c r="H38" s="83"/>
      <c r="I38" s="83"/>
      <c r="J38" s="83"/>
      <c r="K38" s="83"/>
      <c r="L38" s="83">
        <v>0</v>
      </c>
      <c r="M38" s="83">
        <v>1230.9000000000001</v>
      </c>
      <c r="N38" s="83">
        <v>1657.04</v>
      </c>
      <c r="O38" s="83">
        <v>444.7</v>
      </c>
      <c r="P38" s="83">
        <v>1065.3399999999999</v>
      </c>
      <c r="Q38" s="33">
        <f t="shared" si="12"/>
        <v>416.52350000000007</v>
      </c>
      <c r="R38" s="33">
        <f t="shared" si="13"/>
        <v>2915.6645000000003</v>
      </c>
      <c r="S38" s="33">
        <f t="shared" si="14"/>
        <v>4998.2820000000002</v>
      </c>
      <c r="T38" s="33"/>
      <c r="U38" s="33"/>
      <c r="V38" s="33"/>
      <c r="W38" s="33"/>
      <c r="X38" s="33"/>
      <c r="Y38" s="33"/>
      <c r="Z38" s="96">
        <f t="shared" si="2"/>
        <v>12728.45</v>
      </c>
      <c r="AD38" s="59">
        <f t="shared" si="3"/>
        <v>12728.45</v>
      </c>
      <c r="AF38" s="59">
        <f t="shared" si="4"/>
        <v>0</v>
      </c>
    </row>
    <row r="39" spans="1:32" ht="46.95" customHeight="1" x14ac:dyDescent="0.3">
      <c r="A39" s="26" t="s">
        <v>266</v>
      </c>
      <c r="B39" s="17" t="s">
        <v>54</v>
      </c>
      <c r="C39" s="22" t="s">
        <v>28</v>
      </c>
      <c r="D39" s="38">
        <v>6364.16</v>
      </c>
      <c r="E39" s="39">
        <v>4.75</v>
      </c>
      <c r="F39" s="38">
        <f t="shared" si="11"/>
        <v>30229.759999999998</v>
      </c>
      <c r="G39" s="83"/>
      <c r="H39" s="83"/>
      <c r="I39" s="83"/>
      <c r="J39" s="83"/>
      <c r="K39" s="83"/>
      <c r="L39" s="83">
        <v>0</v>
      </c>
      <c r="M39" s="83">
        <v>3552</v>
      </c>
      <c r="N39" s="83">
        <v>3684.43</v>
      </c>
      <c r="O39" s="83">
        <v>994.79</v>
      </c>
      <c r="P39" s="83">
        <v>2489.5700000000002</v>
      </c>
      <c r="Q39" s="33">
        <f t="shared" si="12"/>
        <v>975.44849999999997</v>
      </c>
      <c r="R39" s="33">
        <f t="shared" si="13"/>
        <v>6828.1394999999984</v>
      </c>
      <c r="S39" s="33">
        <f t="shared" si="14"/>
        <v>11705.381999999998</v>
      </c>
      <c r="T39" s="33"/>
      <c r="U39" s="33"/>
      <c r="V39" s="33"/>
      <c r="W39" s="33"/>
      <c r="X39" s="33"/>
      <c r="Y39" s="33"/>
      <c r="Z39" s="96">
        <f t="shared" si="2"/>
        <v>30229.759999999998</v>
      </c>
      <c r="AD39" s="59">
        <f t="shared" si="3"/>
        <v>30229.759999999998</v>
      </c>
      <c r="AF39" s="59">
        <f t="shared" si="4"/>
        <v>0</v>
      </c>
    </row>
    <row r="40" spans="1:32" ht="46.95" customHeight="1" x14ac:dyDescent="0.3">
      <c r="A40" s="26" t="s">
        <v>267</v>
      </c>
      <c r="B40" s="17" t="s">
        <v>46</v>
      </c>
      <c r="C40" s="22" t="s">
        <v>47</v>
      </c>
      <c r="D40" s="38">
        <v>969.44</v>
      </c>
      <c r="E40" s="39">
        <v>17.84</v>
      </c>
      <c r="F40" s="38">
        <f t="shared" si="11"/>
        <v>17294.810000000001</v>
      </c>
      <c r="G40" s="83"/>
      <c r="H40" s="83"/>
      <c r="I40" s="83"/>
      <c r="J40" s="83"/>
      <c r="K40" s="83"/>
      <c r="L40" s="83">
        <v>1600.96</v>
      </c>
      <c r="M40" s="83">
        <v>1955.98</v>
      </c>
      <c r="N40" s="83">
        <v>2138.3000000000002</v>
      </c>
      <c r="O40" s="83">
        <v>576.59</v>
      </c>
      <c r="P40" s="83">
        <v>1429.16</v>
      </c>
      <c r="Q40" s="33">
        <f t="shared" si="12"/>
        <v>479.69100000000009</v>
      </c>
      <c r="R40" s="33">
        <f t="shared" si="13"/>
        <v>3357.8370000000004</v>
      </c>
      <c r="S40" s="33">
        <f t="shared" si="14"/>
        <v>5756.2920000000004</v>
      </c>
      <c r="T40" s="33"/>
      <c r="U40" s="33"/>
      <c r="V40" s="33"/>
      <c r="W40" s="33"/>
      <c r="X40" s="33"/>
      <c r="Y40" s="33"/>
      <c r="Z40" s="96">
        <f t="shared" si="2"/>
        <v>17294.810000000001</v>
      </c>
      <c r="AD40" s="59">
        <f t="shared" si="3"/>
        <v>17294.810000000001</v>
      </c>
      <c r="AF40" s="59">
        <f t="shared" si="4"/>
        <v>0</v>
      </c>
    </row>
    <row r="41" spans="1:32" ht="46.95" customHeight="1" x14ac:dyDescent="0.3">
      <c r="A41" s="26" t="s">
        <v>268</v>
      </c>
      <c r="B41" s="17" t="s">
        <v>55</v>
      </c>
      <c r="C41" s="22" t="s">
        <v>47</v>
      </c>
      <c r="D41" s="38">
        <v>969.44</v>
      </c>
      <c r="E41" s="39">
        <v>32.71</v>
      </c>
      <c r="F41" s="38">
        <f t="shared" si="11"/>
        <v>31710.38</v>
      </c>
      <c r="G41" s="83"/>
      <c r="H41" s="83"/>
      <c r="I41" s="83"/>
      <c r="J41" s="83"/>
      <c r="K41" s="83"/>
      <c r="L41" s="83">
        <v>2935.4</v>
      </c>
      <c r="M41" s="83">
        <v>3586.32</v>
      </c>
      <c r="N41" s="83">
        <v>3920.62</v>
      </c>
      <c r="O41" s="83">
        <v>1057.19</v>
      </c>
      <c r="P41" s="83">
        <v>2620.4</v>
      </c>
      <c r="Q41" s="33">
        <f t="shared" si="12"/>
        <v>879.52250000000004</v>
      </c>
      <c r="R41" s="33">
        <f t="shared" si="13"/>
        <v>6156.6575000000003</v>
      </c>
      <c r="S41" s="33">
        <f t="shared" si="14"/>
        <v>10554.27</v>
      </c>
      <c r="T41" s="33"/>
      <c r="U41" s="33"/>
      <c r="V41" s="33"/>
      <c r="W41" s="33"/>
      <c r="X41" s="33"/>
      <c r="Y41" s="33"/>
      <c r="Z41" s="96">
        <f t="shared" si="2"/>
        <v>31710.38</v>
      </c>
      <c r="AD41" s="59">
        <f t="shared" si="3"/>
        <v>31710.38</v>
      </c>
      <c r="AF41" s="59">
        <f t="shared" si="4"/>
        <v>0</v>
      </c>
    </row>
    <row r="42" spans="1:32" s="14" customFormat="1" ht="46.95" customHeight="1" x14ac:dyDescent="0.3">
      <c r="A42" s="27" t="s">
        <v>269</v>
      </c>
      <c r="B42" s="18" t="s">
        <v>56</v>
      </c>
      <c r="C42" s="43"/>
      <c r="D42" s="37"/>
      <c r="E42" s="67"/>
      <c r="F42" s="37">
        <f t="shared" ref="F42:Y42" si="15">SUM(F43)</f>
        <v>96035.17</v>
      </c>
      <c r="G42" s="82">
        <v>0</v>
      </c>
      <c r="H42" s="82">
        <v>0</v>
      </c>
      <c r="I42" s="82">
        <v>0</v>
      </c>
      <c r="J42" s="82">
        <v>0</v>
      </c>
      <c r="K42" s="82">
        <v>0</v>
      </c>
      <c r="L42" s="82">
        <v>0</v>
      </c>
      <c r="M42" s="82">
        <v>11284.15</v>
      </c>
      <c r="N42" s="82">
        <v>11704.86</v>
      </c>
      <c r="O42" s="82">
        <v>3160.3</v>
      </c>
      <c r="P42" s="82">
        <f t="shared" si="15"/>
        <v>7908.97</v>
      </c>
      <c r="Q42" s="32">
        <f t="shared" si="15"/>
        <v>3098.8445000000002</v>
      </c>
      <c r="R42" s="32">
        <f t="shared" si="15"/>
        <v>21691.911499999998</v>
      </c>
      <c r="S42" s="32">
        <f t="shared" si="15"/>
        <v>37186.133999999998</v>
      </c>
      <c r="T42" s="32">
        <f t="shared" si="15"/>
        <v>0</v>
      </c>
      <c r="U42" s="32">
        <f t="shared" si="15"/>
        <v>0</v>
      </c>
      <c r="V42" s="32">
        <f t="shared" si="15"/>
        <v>0</v>
      </c>
      <c r="W42" s="32">
        <f t="shared" si="15"/>
        <v>0</v>
      </c>
      <c r="X42" s="32">
        <f t="shared" si="15"/>
        <v>0</v>
      </c>
      <c r="Y42" s="32">
        <f t="shared" si="15"/>
        <v>0</v>
      </c>
      <c r="Z42" s="95">
        <f t="shared" si="2"/>
        <v>96035.169999999984</v>
      </c>
      <c r="AA42" s="13"/>
      <c r="AD42" s="59">
        <f t="shared" si="3"/>
        <v>96035.169999999984</v>
      </c>
      <c r="AF42" s="59">
        <f t="shared" si="4"/>
        <v>0</v>
      </c>
    </row>
    <row r="43" spans="1:32" ht="46.95" customHeight="1" x14ac:dyDescent="0.3">
      <c r="A43" s="26" t="s">
        <v>270</v>
      </c>
      <c r="B43" s="17" t="s">
        <v>57</v>
      </c>
      <c r="C43" s="22" t="s">
        <v>28</v>
      </c>
      <c r="D43" s="38">
        <v>6364.16</v>
      </c>
      <c r="E43" s="39">
        <v>15.09</v>
      </c>
      <c r="F43" s="38">
        <f>ROUND(D43*E43,2)</f>
        <v>96035.17</v>
      </c>
      <c r="G43" s="83"/>
      <c r="H43" s="83"/>
      <c r="I43" s="83"/>
      <c r="J43" s="83"/>
      <c r="K43" s="83"/>
      <c r="L43" s="83"/>
      <c r="M43" s="83">
        <v>11284.15</v>
      </c>
      <c r="N43" s="83">
        <v>11704.86</v>
      </c>
      <c r="O43" s="83">
        <v>3160.3</v>
      </c>
      <c r="P43" s="83">
        <v>7908.97</v>
      </c>
      <c r="Q43" s="33">
        <f>(F43-SUM(G43:P43))*0.05</f>
        <v>3098.8445000000002</v>
      </c>
      <c r="R43" s="33">
        <f>(F43-SUM(G43:P43))*0.35</f>
        <v>21691.911499999998</v>
      </c>
      <c r="S43" s="33">
        <f>(F43-SUM(G43:P43))*0.6</f>
        <v>37186.133999999998</v>
      </c>
      <c r="T43" s="33"/>
      <c r="U43" s="33"/>
      <c r="V43" s="33"/>
      <c r="W43" s="33"/>
      <c r="X43" s="33"/>
      <c r="Y43" s="33"/>
      <c r="Z43" s="96">
        <f t="shared" si="2"/>
        <v>96035.169999999984</v>
      </c>
      <c r="AD43" s="59">
        <f t="shared" si="3"/>
        <v>96035.169999999984</v>
      </c>
      <c r="AF43" s="59">
        <f t="shared" si="4"/>
        <v>0</v>
      </c>
    </row>
    <row r="44" spans="1:32" s="14" customFormat="1" ht="46.95" customHeight="1" x14ac:dyDescent="0.3">
      <c r="A44" s="27" t="s">
        <v>271</v>
      </c>
      <c r="B44" s="18" t="s">
        <v>58</v>
      </c>
      <c r="C44" s="43"/>
      <c r="D44" s="37"/>
      <c r="E44" s="67"/>
      <c r="F44" s="37">
        <f t="shared" ref="F44:Y44" si="16">SUM(F45:F50)</f>
        <v>772618.54999999993</v>
      </c>
      <c r="G44" s="82">
        <v>0</v>
      </c>
      <c r="H44" s="82">
        <v>0</v>
      </c>
      <c r="I44" s="82">
        <v>0</v>
      </c>
      <c r="J44" s="82">
        <v>0</v>
      </c>
      <c r="K44" s="82">
        <v>0</v>
      </c>
      <c r="L44" s="82">
        <v>0</v>
      </c>
      <c r="M44" s="82">
        <v>83550.920000000013</v>
      </c>
      <c r="N44" s="82">
        <v>94320.46</v>
      </c>
      <c r="O44" s="82">
        <v>25388.13</v>
      </c>
      <c r="P44" s="82">
        <f t="shared" si="16"/>
        <v>61181.510000000009</v>
      </c>
      <c r="Q44" s="32">
        <f t="shared" si="16"/>
        <v>25408.876500000002</v>
      </c>
      <c r="R44" s="32">
        <f t="shared" si="16"/>
        <v>177862.1355</v>
      </c>
      <c r="S44" s="32">
        <f t="shared" si="16"/>
        <v>304906.51800000004</v>
      </c>
      <c r="T44" s="32">
        <f t="shared" si="16"/>
        <v>0</v>
      </c>
      <c r="U44" s="32">
        <f t="shared" si="16"/>
        <v>0</v>
      </c>
      <c r="V44" s="32">
        <f t="shared" si="16"/>
        <v>0</v>
      </c>
      <c r="W44" s="32">
        <f t="shared" si="16"/>
        <v>0</v>
      </c>
      <c r="X44" s="32">
        <f t="shared" si="16"/>
        <v>0</v>
      </c>
      <c r="Y44" s="32">
        <f t="shared" si="16"/>
        <v>0</v>
      </c>
      <c r="Z44" s="95">
        <f t="shared" si="2"/>
        <v>772618.55</v>
      </c>
      <c r="AA44" s="13"/>
      <c r="AD44" s="59">
        <f t="shared" si="3"/>
        <v>772618.55</v>
      </c>
      <c r="AF44" s="59">
        <f t="shared" si="4"/>
        <v>0</v>
      </c>
    </row>
    <row r="45" spans="1:32" ht="46.95" customHeight="1" x14ac:dyDescent="0.3">
      <c r="A45" s="26" t="s">
        <v>272</v>
      </c>
      <c r="B45" s="17" t="s">
        <v>59</v>
      </c>
      <c r="C45" s="22" t="s">
        <v>28</v>
      </c>
      <c r="D45" s="38">
        <v>1720.02</v>
      </c>
      <c r="E45" s="39">
        <v>73.62</v>
      </c>
      <c r="F45" s="38">
        <f>ROUND(D45*E45,2)</f>
        <v>126627.87</v>
      </c>
      <c r="G45" s="83"/>
      <c r="H45" s="83"/>
      <c r="I45" s="83"/>
      <c r="J45" s="83"/>
      <c r="K45" s="83"/>
      <c r="L45" s="83"/>
      <c r="M45" s="83">
        <v>10646.92</v>
      </c>
      <c r="N45" s="83">
        <v>13993.69</v>
      </c>
      <c r="O45" s="83">
        <v>3767.87</v>
      </c>
      <c r="P45" s="83">
        <v>8135.01</v>
      </c>
      <c r="Q45" s="33">
        <f t="shared" ref="Q45:Q50" si="17">(F45-SUM(G45:P45))*0.05</f>
        <v>4504.2190000000001</v>
      </c>
      <c r="R45" s="33">
        <f t="shared" ref="R45:R50" si="18">(F45-SUM(G45:P45))*0.35</f>
        <v>31529.532999999999</v>
      </c>
      <c r="S45" s="33">
        <f t="shared" ref="S45:S50" si="19">(F45-SUM(G45:P45))*0.6</f>
        <v>54050.628000000004</v>
      </c>
      <c r="T45" s="33"/>
      <c r="U45" s="33"/>
      <c r="V45" s="33"/>
      <c r="W45" s="33"/>
      <c r="X45" s="33"/>
      <c r="Y45" s="33"/>
      <c r="Z45" s="96">
        <f t="shared" si="2"/>
        <v>126627.87</v>
      </c>
      <c r="AD45" s="59">
        <f t="shared" si="3"/>
        <v>126627.87</v>
      </c>
      <c r="AF45" s="59">
        <f t="shared" si="4"/>
        <v>0</v>
      </c>
    </row>
    <row r="46" spans="1:32" ht="46.95" customHeight="1" x14ac:dyDescent="0.3">
      <c r="A46" s="26" t="s">
        <v>273</v>
      </c>
      <c r="B46" s="17" t="s">
        <v>60</v>
      </c>
      <c r="C46" s="22" t="s">
        <v>28</v>
      </c>
      <c r="D46" s="38">
        <v>6364.16</v>
      </c>
      <c r="E46" s="39">
        <v>55.8</v>
      </c>
      <c r="F46" s="38">
        <f>ROUND(D46*E46,2)</f>
        <v>355120.13</v>
      </c>
      <c r="G46" s="83"/>
      <c r="H46" s="83"/>
      <c r="I46" s="83"/>
      <c r="J46" s="83"/>
      <c r="K46" s="83"/>
      <c r="L46" s="83"/>
      <c r="M46" s="83">
        <v>41276.379999999997</v>
      </c>
      <c r="N46" s="83">
        <v>43878.89</v>
      </c>
      <c r="O46" s="83">
        <v>11791.1</v>
      </c>
      <c r="P46" s="83">
        <v>29245.9</v>
      </c>
      <c r="Q46" s="33">
        <f t="shared" si="17"/>
        <v>11446.393000000002</v>
      </c>
      <c r="R46" s="33">
        <f t="shared" si="18"/>
        <v>80124.751000000004</v>
      </c>
      <c r="S46" s="33">
        <f t="shared" si="19"/>
        <v>137356.71600000001</v>
      </c>
      <c r="T46" s="33"/>
      <c r="U46" s="33"/>
      <c r="V46" s="33"/>
      <c r="W46" s="33"/>
      <c r="X46" s="33"/>
      <c r="Y46" s="33"/>
      <c r="Z46" s="96">
        <f t="shared" si="2"/>
        <v>355120.13</v>
      </c>
      <c r="AD46" s="59">
        <f t="shared" si="3"/>
        <v>355120.13</v>
      </c>
      <c r="AF46" s="59">
        <f t="shared" si="4"/>
        <v>0</v>
      </c>
    </row>
    <row r="47" spans="1:32" ht="46.95" customHeight="1" x14ac:dyDescent="0.3">
      <c r="A47" s="26" t="s">
        <v>274</v>
      </c>
      <c r="B47" s="17" t="s">
        <v>61</v>
      </c>
      <c r="C47" s="22" t="s">
        <v>47</v>
      </c>
      <c r="D47" s="38">
        <v>171.45</v>
      </c>
      <c r="E47" s="39">
        <v>369.69</v>
      </c>
      <c r="F47" s="38">
        <f t="shared" ref="F47:F50" si="20">ROUND(D47*E47,2)</f>
        <v>63383.35</v>
      </c>
      <c r="G47" s="83"/>
      <c r="H47" s="83"/>
      <c r="I47" s="83"/>
      <c r="J47" s="83"/>
      <c r="K47" s="83"/>
      <c r="L47" s="83"/>
      <c r="M47" s="83">
        <v>6129.46</v>
      </c>
      <c r="N47" s="83">
        <v>8251.48</v>
      </c>
      <c r="O47" s="83">
        <v>2214.44</v>
      </c>
      <c r="P47" s="83">
        <v>5305.05</v>
      </c>
      <c r="Q47" s="33">
        <f t="shared" si="17"/>
        <v>2074.1460000000002</v>
      </c>
      <c r="R47" s="33">
        <f t="shared" si="18"/>
        <v>14519.021999999999</v>
      </c>
      <c r="S47" s="33">
        <f t="shared" si="19"/>
        <v>24889.751999999997</v>
      </c>
      <c r="T47" s="33"/>
      <c r="U47" s="33"/>
      <c r="V47" s="33"/>
      <c r="W47" s="33"/>
      <c r="X47" s="33"/>
      <c r="Y47" s="33"/>
      <c r="Z47" s="96">
        <f t="shared" si="2"/>
        <v>63383.349999999991</v>
      </c>
      <c r="AD47" s="59">
        <f t="shared" si="3"/>
        <v>63383.349999999991</v>
      </c>
      <c r="AF47" s="59">
        <f t="shared" si="4"/>
        <v>0</v>
      </c>
    </row>
    <row r="48" spans="1:32" ht="46.95" customHeight="1" x14ac:dyDescent="0.3">
      <c r="A48" s="26" t="s">
        <v>275</v>
      </c>
      <c r="B48" s="17" t="s">
        <v>62</v>
      </c>
      <c r="C48" s="22" t="s">
        <v>28</v>
      </c>
      <c r="D48" s="38">
        <v>6364.16</v>
      </c>
      <c r="E48" s="39">
        <v>18.73</v>
      </c>
      <c r="F48" s="38">
        <f t="shared" si="20"/>
        <v>119200.72</v>
      </c>
      <c r="G48" s="83"/>
      <c r="H48" s="83"/>
      <c r="I48" s="83"/>
      <c r="J48" s="83"/>
      <c r="K48" s="83"/>
      <c r="L48" s="83"/>
      <c r="M48" s="83">
        <v>13854.96</v>
      </c>
      <c r="N48" s="83">
        <v>14728.52</v>
      </c>
      <c r="O48" s="83">
        <v>3957.84</v>
      </c>
      <c r="P48" s="83">
        <v>9816.77</v>
      </c>
      <c r="Q48" s="33">
        <f t="shared" si="17"/>
        <v>3842.1315000000004</v>
      </c>
      <c r="R48" s="33">
        <f t="shared" si="18"/>
        <v>26894.9205</v>
      </c>
      <c r="S48" s="33">
        <f t="shared" si="19"/>
        <v>46105.578000000001</v>
      </c>
      <c r="T48" s="33"/>
      <c r="U48" s="33"/>
      <c r="V48" s="33"/>
      <c r="W48" s="33"/>
      <c r="X48" s="33"/>
      <c r="Y48" s="33"/>
      <c r="Z48" s="96">
        <f t="shared" si="2"/>
        <v>119200.72</v>
      </c>
      <c r="AD48" s="59">
        <f t="shared" si="3"/>
        <v>119200.72</v>
      </c>
      <c r="AF48" s="59">
        <f t="shared" si="4"/>
        <v>0</v>
      </c>
    </row>
    <row r="49" spans="1:32" ht="46.95" customHeight="1" x14ac:dyDescent="0.3">
      <c r="A49" s="26" t="s">
        <v>276</v>
      </c>
      <c r="B49" s="17" t="s">
        <v>63</v>
      </c>
      <c r="C49" s="22" t="s">
        <v>32</v>
      </c>
      <c r="D49" s="38">
        <v>8580.6900000000023</v>
      </c>
      <c r="E49" s="39">
        <v>11.04</v>
      </c>
      <c r="F49" s="38">
        <f t="shared" si="20"/>
        <v>94730.82</v>
      </c>
      <c r="G49" s="83"/>
      <c r="H49" s="83"/>
      <c r="I49" s="83"/>
      <c r="J49" s="83"/>
      <c r="K49" s="83"/>
      <c r="L49" s="83"/>
      <c r="M49" s="83">
        <v>10067.6</v>
      </c>
      <c r="N49" s="83">
        <v>11792.93</v>
      </c>
      <c r="O49" s="83">
        <v>3206.79</v>
      </c>
      <c r="P49" s="83">
        <v>7562.4</v>
      </c>
      <c r="Q49" s="33">
        <f t="shared" si="17"/>
        <v>3105.0550000000003</v>
      </c>
      <c r="R49" s="33">
        <f t="shared" si="18"/>
        <v>21735.385000000002</v>
      </c>
      <c r="S49" s="33">
        <f t="shared" si="19"/>
        <v>37260.660000000003</v>
      </c>
      <c r="T49" s="33"/>
      <c r="U49" s="33"/>
      <c r="V49" s="33"/>
      <c r="W49" s="33"/>
      <c r="X49" s="33"/>
      <c r="Y49" s="33"/>
      <c r="Z49" s="96">
        <f t="shared" si="2"/>
        <v>94730.82</v>
      </c>
      <c r="AD49" s="59">
        <f t="shared" si="3"/>
        <v>94730.82</v>
      </c>
      <c r="AF49" s="59">
        <f t="shared" si="4"/>
        <v>0</v>
      </c>
    </row>
    <row r="50" spans="1:32" ht="46.95" customHeight="1" x14ac:dyDescent="0.3">
      <c r="A50" s="26" t="s">
        <v>277</v>
      </c>
      <c r="B50" s="17" t="s">
        <v>64</v>
      </c>
      <c r="C50" s="22" t="s">
        <v>28</v>
      </c>
      <c r="D50" s="38">
        <v>6364.16</v>
      </c>
      <c r="E50" s="39">
        <v>2.13</v>
      </c>
      <c r="F50" s="38">
        <f t="shared" si="20"/>
        <v>13555.66</v>
      </c>
      <c r="G50" s="83"/>
      <c r="H50" s="83"/>
      <c r="I50" s="83"/>
      <c r="J50" s="83"/>
      <c r="K50" s="83"/>
      <c r="L50" s="83"/>
      <c r="M50" s="83">
        <v>1575.6</v>
      </c>
      <c r="N50" s="83">
        <v>1674.95</v>
      </c>
      <c r="O50" s="83">
        <v>450.09</v>
      </c>
      <c r="P50" s="83">
        <v>1116.3800000000001</v>
      </c>
      <c r="Q50" s="33">
        <f t="shared" si="17"/>
        <v>436.93200000000002</v>
      </c>
      <c r="R50" s="33">
        <f t="shared" si="18"/>
        <v>3058.5239999999994</v>
      </c>
      <c r="S50" s="33">
        <f t="shared" si="19"/>
        <v>5243.1839999999993</v>
      </c>
      <c r="T50" s="33"/>
      <c r="U50" s="33"/>
      <c r="V50" s="33"/>
      <c r="W50" s="33"/>
      <c r="X50" s="33"/>
      <c r="Y50" s="33"/>
      <c r="Z50" s="96">
        <f t="shared" si="2"/>
        <v>13555.659999999998</v>
      </c>
      <c r="AD50" s="59">
        <f t="shared" si="3"/>
        <v>13555.659999999998</v>
      </c>
      <c r="AF50" s="59">
        <f t="shared" si="4"/>
        <v>0</v>
      </c>
    </row>
    <row r="51" spans="1:32" s="14" customFormat="1" ht="46.95" customHeight="1" x14ac:dyDescent="0.3">
      <c r="A51" s="27" t="s">
        <v>278</v>
      </c>
      <c r="B51" s="18" t="s">
        <v>65</v>
      </c>
      <c r="C51" s="43"/>
      <c r="D51" s="37"/>
      <c r="E51" s="67"/>
      <c r="F51" s="37">
        <f t="shared" ref="F51:Y51" si="21">SUM(F52:F53)</f>
        <v>13960.44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82">
        <v>0</v>
      </c>
      <c r="M51" s="82">
        <v>0</v>
      </c>
      <c r="N51" s="82">
        <v>0</v>
      </c>
      <c r="O51" s="82">
        <v>0</v>
      </c>
      <c r="P51" s="82">
        <f t="shared" si="21"/>
        <v>0</v>
      </c>
      <c r="Q51" s="32">
        <f t="shared" si="21"/>
        <v>0</v>
      </c>
      <c r="R51" s="32">
        <f t="shared" si="21"/>
        <v>0</v>
      </c>
      <c r="S51" s="32">
        <f t="shared" si="21"/>
        <v>0</v>
      </c>
      <c r="T51" s="32">
        <f>SUM(T52:T53)</f>
        <v>7257.64</v>
      </c>
      <c r="U51" s="32">
        <f>SUM(U52:U53)</f>
        <v>6702.8</v>
      </c>
      <c r="V51" s="32">
        <f>SUM(V52:V53)</f>
        <v>0</v>
      </c>
      <c r="W51" s="32">
        <f t="shared" si="21"/>
        <v>0</v>
      </c>
      <c r="X51" s="32">
        <f t="shared" si="21"/>
        <v>0</v>
      </c>
      <c r="Y51" s="32">
        <f t="shared" si="21"/>
        <v>0</v>
      </c>
      <c r="Z51" s="95">
        <f t="shared" si="2"/>
        <v>13960.44</v>
      </c>
      <c r="AA51" s="13"/>
      <c r="AD51" s="59">
        <f t="shared" si="3"/>
        <v>13960.44</v>
      </c>
      <c r="AF51" s="59">
        <f t="shared" si="4"/>
        <v>0</v>
      </c>
    </row>
    <row r="52" spans="1:32" ht="46.95" customHeight="1" x14ac:dyDescent="0.3">
      <c r="A52" s="26" t="s">
        <v>279</v>
      </c>
      <c r="B52" s="17" t="s">
        <v>66</v>
      </c>
      <c r="C52" s="22" t="s">
        <v>32</v>
      </c>
      <c r="D52" s="38">
        <v>1789.8</v>
      </c>
      <c r="E52" s="39">
        <v>0.31</v>
      </c>
      <c r="F52" s="38">
        <f t="shared" ref="F52" si="22">ROUND(D52*E52,2)</f>
        <v>554.84</v>
      </c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33"/>
      <c r="R52" s="33"/>
      <c r="S52" s="33"/>
      <c r="T52" s="33">
        <f>$F$52</f>
        <v>554.84</v>
      </c>
      <c r="U52" s="33"/>
      <c r="V52" s="33"/>
      <c r="W52" s="33"/>
      <c r="X52" s="33"/>
      <c r="Y52" s="33"/>
      <c r="Z52" s="96">
        <f t="shared" si="2"/>
        <v>554.84</v>
      </c>
      <c r="AD52" s="59">
        <f t="shared" si="3"/>
        <v>554.84</v>
      </c>
      <c r="AF52" s="59">
        <f t="shared" si="4"/>
        <v>0</v>
      </c>
    </row>
    <row r="53" spans="1:32" s="14" customFormat="1" ht="46.95" customHeight="1" x14ac:dyDescent="0.3">
      <c r="A53" s="26" t="s">
        <v>280</v>
      </c>
      <c r="B53" s="17" t="s">
        <v>281</v>
      </c>
      <c r="C53" s="22" t="s">
        <v>32</v>
      </c>
      <c r="D53" s="38">
        <v>1789.8</v>
      </c>
      <c r="E53" s="39">
        <v>7.49</v>
      </c>
      <c r="F53" s="38">
        <f t="shared" ref="F53" si="23">ROUND(D53*E53,2)</f>
        <v>13405.6</v>
      </c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33"/>
      <c r="R53" s="33"/>
      <c r="S53" s="33"/>
      <c r="T53" s="33">
        <f>$F$53/2</f>
        <v>6702.8</v>
      </c>
      <c r="U53" s="33">
        <f>$F$53/2</f>
        <v>6702.8</v>
      </c>
      <c r="V53" s="33"/>
      <c r="W53" s="33"/>
      <c r="X53" s="33"/>
      <c r="Y53" s="33"/>
      <c r="Z53" s="96">
        <f t="shared" si="2"/>
        <v>13405.6</v>
      </c>
      <c r="AA53" s="13"/>
      <c r="AD53" s="59">
        <f t="shared" si="3"/>
        <v>13405.6</v>
      </c>
      <c r="AF53" s="59">
        <f t="shared" si="4"/>
        <v>0</v>
      </c>
    </row>
    <row r="54" spans="1:32" ht="46.95" customHeight="1" x14ac:dyDescent="0.3">
      <c r="A54" s="27" t="s">
        <v>282</v>
      </c>
      <c r="B54" s="18" t="s">
        <v>67</v>
      </c>
      <c r="C54" s="43"/>
      <c r="D54" s="37"/>
      <c r="E54" s="67"/>
      <c r="F54" s="37">
        <f t="shared" ref="F54:Y54" si="24">SUM(F55:F57)</f>
        <v>60737.42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11213.23</v>
      </c>
      <c r="N54" s="82">
        <v>10306.98</v>
      </c>
      <c r="O54" s="82">
        <v>2959.29</v>
      </c>
      <c r="P54" s="82">
        <f t="shared" si="24"/>
        <v>12165.970000000001</v>
      </c>
      <c r="Q54" s="32">
        <f t="shared" si="24"/>
        <v>863.96849999999995</v>
      </c>
      <c r="R54" s="32">
        <f t="shared" si="24"/>
        <v>6047.7794999999996</v>
      </c>
      <c r="S54" s="32">
        <f t="shared" si="24"/>
        <v>10367.621999999999</v>
      </c>
      <c r="T54" s="32">
        <f t="shared" si="24"/>
        <v>6812.58</v>
      </c>
      <c r="U54" s="32">
        <f t="shared" si="24"/>
        <v>0</v>
      </c>
      <c r="V54" s="32">
        <f t="shared" si="24"/>
        <v>0</v>
      </c>
      <c r="W54" s="32">
        <f t="shared" si="24"/>
        <v>0</v>
      </c>
      <c r="X54" s="32">
        <f t="shared" si="24"/>
        <v>0</v>
      </c>
      <c r="Y54" s="32">
        <f t="shared" si="24"/>
        <v>0</v>
      </c>
      <c r="Z54" s="95">
        <f t="shared" si="2"/>
        <v>60737.42</v>
      </c>
      <c r="AD54" s="59">
        <f t="shared" si="3"/>
        <v>60737.42</v>
      </c>
      <c r="AF54" s="59">
        <f t="shared" si="4"/>
        <v>0</v>
      </c>
    </row>
    <row r="55" spans="1:32" ht="46.95" customHeight="1" x14ac:dyDescent="0.3">
      <c r="A55" s="26" t="s">
        <v>283</v>
      </c>
      <c r="B55" s="17" t="s">
        <v>68</v>
      </c>
      <c r="C55" s="22" t="s">
        <v>37</v>
      </c>
      <c r="D55" s="38">
        <v>164</v>
      </c>
      <c r="E55" s="39">
        <v>181.25</v>
      </c>
      <c r="F55" s="38">
        <f t="shared" ref="F55:F57" si="25">ROUND(D55*E55,2)</f>
        <v>29725</v>
      </c>
      <c r="G55" s="83"/>
      <c r="H55" s="83"/>
      <c r="I55" s="83"/>
      <c r="J55" s="83"/>
      <c r="K55" s="83"/>
      <c r="L55" s="83"/>
      <c r="M55" s="83">
        <v>6343.75</v>
      </c>
      <c r="N55" s="83">
        <v>5437.5</v>
      </c>
      <c r="O55" s="83">
        <v>1631.25</v>
      </c>
      <c r="P55" s="83">
        <v>6706.25</v>
      </c>
      <c r="Q55" s="33">
        <f t="shared" ref="Q55:Q56" si="26">(F55-SUM(G55:P55))*0.05</f>
        <v>480.3125</v>
      </c>
      <c r="R55" s="33">
        <f t="shared" ref="R55:R56" si="27">(F55-SUM(G55:P55))*0.35</f>
        <v>3362.1875</v>
      </c>
      <c r="S55" s="33">
        <f t="shared" ref="S55:S56" si="28">(F55-SUM(G55:P55))*0.6</f>
        <v>5763.75</v>
      </c>
      <c r="T55" s="33"/>
      <c r="U55" s="33"/>
      <c r="V55" s="33"/>
      <c r="W55" s="33"/>
      <c r="X55" s="33"/>
      <c r="Y55" s="33"/>
      <c r="Z55" s="96">
        <f t="shared" si="2"/>
        <v>29725</v>
      </c>
      <c r="AD55" s="59">
        <f t="shared" si="3"/>
        <v>29725</v>
      </c>
      <c r="AF55" s="59">
        <f t="shared" si="4"/>
        <v>0</v>
      </c>
    </row>
    <row r="56" spans="1:32" ht="46.95" customHeight="1" x14ac:dyDescent="0.3">
      <c r="A56" s="26" t="s">
        <v>284</v>
      </c>
      <c r="B56" s="17" t="s">
        <v>69</v>
      </c>
      <c r="C56" s="22" t="s">
        <v>37</v>
      </c>
      <c r="D56" s="38">
        <v>164</v>
      </c>
      <c r="E56" s="39">
        <v>147.56</v>
      </c>
      <c r="F56" s="38">
        <f t="shared" si="25"/>
        <v>24199.84</v>
      </c>
      <c r="G56" s="83"/>
      <c r="H56" s="83"/>
      <c r="I56" s="83"/>
      <c r="J56" s="83"/>
      <c r="K56" s="83"/>
      <c r="L56" s="83"/>
      <c r="M56" s="83">
        <v>4869.4799999999996</v>
      </c>
      <c r="N56" s="83">
        <v>4869.4799999999996</v>
      </c>
      <c r="O56" s="83">
        <v>1328.04</v>
      </c>
      <c r="P56" s="83">
        <v>5459.72</v>
      </c>
      <c r="Q56" s="33">
        <f t="shared" si="26"/>
        <v>383.65599999999995</v>
      </c>
      <c r="R56" s="33">
        <f t="shared" si="27"/>
        <v>2685.5919999999996</v>
      </c>
      <c r="S56" s="33">
        <f t="shared" si="28"/>
        <v>4603.8719999999994</v>
      </c>
      <c r="T56" s="33"/>
      <c r="U56" s="33"/>
      <c r="V56" s="33"/>
      <c r="W56" s="33"/>
      <c r="X56" s="33"/>
      <c r="Y56" s="33"/>
      <c r="Z56" s="96">
        <f t="shared" si="2"/>
        <v>24199.84</v>
      </c>
      <c r="AD56" s="59">
        <f t="shared" si="3"/>
        <v>24199.84</v>
      </c>
      <c r="AF56" s="59">
        <f t="shared" si="4"/>
        <v>0</v>
      </c>
    </row>
    <row r="57" spans="1:32" ht="46.95" customHeight="1" x14ac:dyDescent="0.3">
      <c r="A57" s="26" t="s">
        <v>285</v>
      </c>
      <c r="B57" s="17" t="s">
        <v>70</v>
      </c>
      <c r="C57" s="22" t="s">
        <v>37</v>
      </c>
      <c r="D57" s="38">
        <v>2</v>
      </c>
      <c r="E57" s="39">
        <v>3406.29</v>
      </c>
      <c r="F57" s="38">
        <f t="shared" si="25"/>
        <v>6812.58</v>
      </c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33"/>
      <c r="R57" s="33"/>
      <c r="S57" s="33"/>
      <c r="T57" s="33">
        <f>F57</f>
        <v>6812.58</v>
      </c>
      <c r="U57" s="33"/>
      <c r="V57" s="33"/>
      <c r="W57" s="33"/>
      <c r="X57" s="33"/>
      <c r="Y57" s="33"/>
      <c r="Z57" s="96">
        <f t="shared" si="2"/>
        <v>6812.58</v>
      </c>
      <c r="AD57" s="59">
        <f t="shared" si="3"/>
        <v>6812.58</v>
      </c>
      <c r="AF57" s="59">
        <f t="shared" si="4"/>
        <v>0</v>
      </c>
    </row>
    <row r="58" spans="1:32" s="14" customFormat="1" ht="46.95" customHeight="1" x14ac:dyDescent="0.3">
      <c r="A58" s="28" t="s">
        <v>286</v>
      </c>
      <c r="B58" s="19" t="s">
        <v>71</v>
      </c>
      <c r="C58" s="42"/>
      <c r="D58" s="36"/>
      <c r="E58" s="39"/>
      <c r="F58" s="46">
        <f t="shared" ref="F58:Y58" si="29">F59+F61+F67+F69</f>
        <v>314046.01</v>
      </c>
      <c r="G58" s="81">
        <v>0</v>
      </c>
      <c r="H58" s="81">
        <v>0</v>
      </c>
      <c r="I58" s="81">
        <v>0</v>
      </c>
      <c r="J58" s="81">
        <v>0</v>
      </c>
      <c r="K58" s="81">
        <v>0</v>
      </c>
      <c r="L58" s="81">
        <v>0</v>
      </c>
      <c r="M58" s="81">
        <v>15286.95</v>
      </c>
      <c r="N58" s="81">
        <v>37736.639999999999</v>
      </c>
      <c r="O58" s="81">
        <v>11279.52</v>
      </c>
      <c r="P58" s="81">
        <f t="shared" si="29"/>
        <v>5965.5199999999995</v>
      </c>
      <c r="Q58" s="60">
        <f t="shared" si="29"/>
        <v>12188.869000000001</v>
      </c>
      <c r="R58" s="60">
        <f t="shared" si="29"/>
        <v>85322.082999999984</v>
      </c>
      <c r="S58" s="60">
        <f t="shared" si="29"/>
        <v>146266.42799999999</v>
      </c>
      <c r="T58" s="60">
        <f t="shared" si="29"/>
        <v>0</v>
      </c>
      <c r="U58" s="60">
        <f t="shared" si="29"/>
        <v>0</v>
      </c>
      <c r="V58" s="60">
        <f t="shared" si="29"/>
        <v>0</v>
      </c>
      <c r="W58" s="60">
        <f t="shared" si="29"/>
        <v>0</v>
      </c>
      <c r="X58" s="60">
        <f t="shared" si="29"/>
        <v>0</v>
      </c>
      <c r="Y58" s="60">
        <f t="shared" si="29"/>
        <v>0</v>
      </c>
      <c r="Z58" s="94">
        <f t="shared" si="2"/>
        <v>314046.01</v>
      </c>
      <c r="AA58" s="13"/>
      <c r="AD58" s="59">
        <f t="shared" si="3"/>
        <v>314046.01</v>
      </c>
      <c r="AF58" s="59">
        <f t="shared" si="4"/>
        <v>0</v>
      </c>
    </row>
    <row r="59" spans="1:32" ht="46.95" customHeight="1" x14ac:dyDescent="0.3">
      <c r="A59" s="27" t="s">
        <v>287</v>
      </c>
      <c r="B59" s="18" t="s">
        <v>34</v>
      </c>
      <c r="C59" s="43"/>
      <c r="D59" s="37"/>
      <c r="E59" s="67"/>
      <c r="F59" s="37">
        <f t="shared" ref="F59:Y59" si="30">SUM(F60)</f>
        <v>5201.5600000000004</v>
      </c>
      <c r="G59" s="82">
        <v>0</v>
      </c>
      <c r="H59" s="82">
        <v>0</v>
      </c>
      <c r="I59" s="82">
        <v>0</v>
      </c>
      <c r="J59" s="82">
        <v>0</v>
      </c>
      <c r="K59" s="82">
        <v>0</v>
      </c>
      <c r="L59" s="82">
        <v>0</v>
      </c>
      <c r="M59" s="82">
        <v>240.48</v>
      </c>
      <c r="N59" s="82">
        <v>627.67999999999995</v>
      </c>
      <c r="O59" s="82">
        <v>162.91999999999999</v>
      </c>
      <c r="P59" s="82">
        <f t="shared" si="30"/>
        <v>90.38</v>
      </c>
      <c r="Q59" s="32">
        <f t="shared" si="30"/>
        <v>204.00500000000002</v>
      </c>
      <c r="R59" s="32">
        <f t="shared" si="30"/>
        <v>1428.0350000000001</v>
      </c>
      <c r="S59" s="32">
        <f t="shared" si="30"/>
        <v>2448.06</v>
      </c>
      <c r="T59" s="32">
        <f t="shared" si="30"/>
        <v>0</v>
      </c>
      <c r="U59" s="32">
        <f t="shared" si="30"/>
        <v>0</v>
      </c>
      <c r="V59" s="32">
        <f t="shared" si="30"/>
        <v>0</v>
      </c>
      <c r="W59" s="32">
        <f t="shared" si="30"/>
        <v>0</v>
      </c>
      <c r="X59" s="32">
        <f t="shared" si="30"/>
        <v>0</v>
      </c>
      <c r="Y59" s="32">
        <f t="shared" si="30"/>
        <v>0</v>
      </c>
      <c r="Z59" s="95">
        <f t="shared" si="2"/>
        <v>5201.5599999999995</v>
      </c>
      <c r="AD59" s="59">
        <f t="shared" si="3"/>
        <v>5201.5599999999995</v>
      </c>
      <c r="AF59" s="59">
        <f t="shared" si="4"/>
        <v>0</v>
      </c>
    </row>
    <row r="60" spans="1:32" s="14" customFormat="1" ht="46.95" customHeight="1" x14ac:dyDescent="0.3">
      <c r="A60" s="26" t="s">
        <v>288</v>
      </c>
      <c r="B60" s="17" t="s">
        <v>50</v>
      </c>
      <c r="C60" s="22" t="s">
        <v>28</v>
      </c>
      <c r="D60" s="38">
        <v>1600.48</v>
      </c>
      <c r="E60" s="39">
        <v>3.25</v>
      </c>
      <c r="F60" s="38">
        <v>5201.5600000000004</v>
      </c>
      <c r="G60" s="83"/>
      <c r="H60" s="83"/>
      <c r="I60" s="83"/>
      <c r="J60" s="83"/>
      <c r="K60" s="83"/>
      <c r="L60" s="83"/>
      <c r="M60" s="83">
        <v>240.48</v>
      </c>
      <c r="N60" s="83">
        <v>627.67999999999995</v>
      </c>
      <c r="O60" s="83">
        <v>162.91999999999999</v>
      </c>
      <c r="P60" s="83">
        <v>90.38</v>
      </c>
      <c r="Q60" s="33">
        <f t="shared" ref="Q60" si="31">(F60-SUM(G60:P60))*0.05</f>
        <v>204.00500000000002</v>
      </c>
      <c r="R60" s="33">
        <f t="shared" ref="R60" si="32">(F60-SUM(G60:P60))*0.35</f>
        <v>1428.0350000000001</v>
      </c>
      <c r="S60" s="33">
        <f t="shared" ref="S60" si="33">(F60-SUM(G60:P60))*0.6</f>
        <v>2448.06</v>
      </c>
      <c r="T60" s="33"/>
      <c r="U60" s="33"/>
      <c r="V60" s="33"/>
      <c r="W60" s="33"/>
      <c r="X60" s="33"/>
      <c r="Y60" s="33"/>
      <c r="Z60" s="96">
        <f t="shared" si="2"/>
        <v>5201.5599999999995</v>
      </c>
      <c r="AA60" s="13"/>
      <c r="AD60" s="59">
        <f t="shared" si="3"/>
        <v>5201.5599999999995</v>
      </c>
      <c r="AF60" s="59">
        <f t="shared" si="4"/>
        <v>0</v>
      </c>
    </row>
    <row r="61" spans="1:32" ht="46.95" customHeight="1" x14ac:dyDescent="0.3">
      <c r="A61" s="27" t="s">
        <v>289</v>
      </c>
      <c r="B61" s="18" t="s">
        <v>72</v>
      </c>
      <c r="C61" s="43"/>
      <c r="D61" s="37"/>
      <c r="E61" s="67"/>
      <c r="F61" s="37">
        <f t="shared" ref="F61:Y61" si="34">SUM(F62:F66)</f>
        <v>31295.67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2">
        <v>0</v>
      </c>
      <c r="M61" s="82">
        <v>1688.6599999999999</v>
      </c>
      <c r="N61" s="82">
        <v>4286.8500000000004</v>
      </c>
      <c r="O61" s="82">
        <v>1035.42</v>
      </c>
      <c r="P61" s="82">
        <f t="shared" si="34"/>
        <v>458.78999999999996</v>
      </c>
      <c r="Q61" s="32">
        <f t="shared" si="34"/>
        <v>1191.2975000000001</v>
      </c>
      <c r="R61" s="32">
        <f t="shared" si="34"/>
        <v>8339.0824999999986</v>
      </c>
      <c r="S61" s="32">
        <f t="shared" si="34"/>
        <v>14295.57</v>
      </c>
      <c r="T61" s="32">
        <f t="shared" si="34"/>
        <v>0</v>
      </c>
      <c r="U61" s="32">
        <f t="shared" si="34"/>
        <v>0</v>
      </c>
      <c r="V61" s="32">
        <f t="shared" si="34"/>
        <v>0</v>
      </c>
      <c r="W61" s="32">
        <f t="shared" si="34"/>
        <v>0</v>
      </c>
      <c r="X61" s="32">
        <f t="shared" si="34"/>
        <v>0</v>
      </c>
      <c r="Y61" s="32">
        <f t="shared" si="34"/>
        <v>0</v>
      </c>
      <c r="Z61" s="95">
        <f t="shared" si="2"/>
        <v>31295.67</v>
      </c>
      <c r="AD61" s="59">
        <f t="shared" si="3"/>
        <v>31295.67</v>
      </c>
      <c r="AF61" s="59">
        <f t="shared" si="4"/>
        <v>0</v>
      </c>
    </row>
    <row r="62" spans="1:32" ht="46.95" customHeight="1" x14ac:dyDescent="0.3">
      <c r="A62" s="26" t="s">
        <v>290</v>
      </c>
      <c r="B62" s="17" t="s">
        <v>52</v>
      </c>
      <c r="C62" s="22" t="s">
        <v>47</v>
      </c>
      <c r="D62" s="38">
        <v>160.05000000000001</v>
      </c>
      <c r="E62" s="39">
        <v>61.87</v>
      </c>
      <c r="F62" s="38">
        <v>9902.2900000000009</v>
      </c>
      <c r="G62" s="83"/>
      <c r="H62" s="83"/>
      <c r="I62" s="83"/>
      <c r="J62" s="83"/>
      <c r="K62" s="83"/>
      <c r="L62" s="83"/>
      <c r="M62" s="83">
        <v>457.79</v>
      </c>
      <c r="N62" s="83">
        <v>1194.9100000000001</v>
      </c>
      <c r="O62" s="83">
        <v>310.14999999999998</v>
      </c>
      <c r="P62" s="83">
        <v>172.06</v>
      </c>
      <c r="Q62" s="33">
        <f t="shared" ref="Q62:Q66" si="35">(F62-SUM(G62:P62))*0.05</f>
        <v>388.36900000000009</v>
      </c>
      <c r="R62" s="33">
        <f t="shared" ref="R62:R66" si="36">(F62-SUM(G62:P62))*0.35</f>
        <v>2718.5830000000001</v>
      </c>
      <c r="S62" s="33">
        <f t="shared" ref="S62:S66" si="37">(F62-SUM(G62:P62))*0.6</f>
        <v>4660.4280000000008</v>
      </c>
      <c r="T62" s="33"/>
      <c r="U62" s="33"/>
      <c r="V62" s="33"/>
      <c r="W62" s="33"/>
      <c r="X62" s="33"/>
      <c r="Y62" s="33"/>
      <c r="Z62" s="96">
        <f t="shared" si="2"/>
        <v>9902.2900000000009</v>
      </c>
      <c r="AD62" s="59">
        <f t="shared" si="3"/>
        <v>9902.2900000000009</v>
      </c>
      <c r="AF62" s="59">
        <f t="shared" si="4"/>
        <v>0</v>
      </c>
    </row>
    <row r="63" spans="1:32" ht="46.95" customHeight="1" x14ac:dyDescent="0.3">
      <c r="A63" s="26" t="s">
        <v>291</v>
      </c>
      <c r="B63" s="17" t="s">
        <v>73</v>
      </c>
      <c r="C63" s="22" t="s">
        <v>47</v>
      </c>
      <c r="D63" s="38">
        <v>39.200000000000003</v>
      </c>
      <c r="E63" s="39">
        <v>74.239999999999995</v>
      </c>
      <c r="F63" s="38">
        <f t="shared" ref="F63" si="38">ROUND(D63*E63,2)</f>
        <v>2910.21</v>
      </c>
      <c r="G63" s="83"/>
      <c r="H63" s="83"/>
      <c r="I63" s="83"/>
      <c r="J63" s="83"/>
      <c r="K63" s="83"/>
      <c r="L63" s="83"/>
      <c r="M63" s="83">
        <v>278.39999999999998</v>
      </c>
      <c r="N63" s="83">
        <v>654.79999999999995</v>
      </c>
      <c r="O63" s="83">
        <v>123.98</v>
      </c>
      <c r="P63" s="83"/>
      <c r="Q63" s="33">
        <f t="shared" si="35"/>
        <v>92.651500000000013</v>
      </c>
      <c r="R63" s="33">
        <f t="shared" si="36"/>
        <v>648.56050000000005</v>
      </c>
      <c r="S63" s="33">
        <f t="shared" si="37"/>
        <v>1111.818</v>
      </c>
      <c r="T63" s="33"/>
      <c r="U63" s="33"/>
      <c r="V63" s="33"/>
      <c r="W63" s="33"/>
      <c r="X63" s="33"/>
      <c r="Y63" s="33"/>
      <c r="Z63" s="96">
        <f t="shared" si="2"/>
        <v>2910.21</v>
      </c>
      <c r="AD63" s="59">
        <f t="shared" si="3"/>
        <v>2910.21</v>
      </c>
      <c r="AF63" s="59">
        <f t="shared" si="4"/>
        <v>0</v>
      </c>
    </row>
    <row r="64" spans="1:32" ht="46.95" customHeight="1" x14ac:dyDescent="0.3">
      <c r="A64" s="26" t="s">
        <v>292</v>
      </c>
      <c r="B64" s="17" t="s">
        <v>74</v>
      </c>
      <c r="C64" s="22" t="s">
        <v>28</v>
      </c>
      <c r="D64" s="38">
        <v>1600.48</v>
      </c>
      <c r="E64" s="39">
        <v>4.75</v>
      </c>
      <c r="F64" s="38">
        <v>7602.28</v>
      </c>
      <c r="G64" s="83"/>
      <c r="H64" s="83"/>
      <c r="I64" s="83"/>
      <c r="J64" s="83"/>
      <c r="K64" s="83"/>
      <c r="L64" s="83"/>
      <c r="M64" s="83">
        <v>351.47</v>
      </c>
      <c r="N64" s="83">
        <v>917.38</v>
      </c>
      <c r="O64" s="83">
        <v>238.12</v>
      </c>
      <c r="P64" s="83">
        <v>132.1</v>
      </c>
      <c r="Q64" s="33">
        <f t="shared" si="35"/>
        <v>298.16050000000001</v>
      </c>
      <c r="R64" s="33">
        <f t="shared" si="36"/>
        <v>2087.1234999999997</v>
      </c>
      <c r="S64" s="33">
        <f t="shared" si="37"/>
        <v>3577.9259999999999</v>
      </c>
      <c r="T64" s="33"/>
      <c r="U64" s="33"/>
      <c r="V64" s="33"/>
      <c r="W64" s="33"/>
      <c r="X64" s="33"/>
      <c r="Y64" s="33"/>
      <c r="Z64" s="96">
        <f t="shared" si="2"/>
        <v>7602.2799999999988</v>
      </c>
      <c r="AD64" s="59">
        <f t="shared" si="3"/>
        <v>7602.2799999999988</v>
      </c>
      <c r="AF64" s="59">
        <f t="shared" si="4"/>
        <v>0</v>
      </c>
    </row>
    <row r="65" spans="1:32" ht="46.95" customHeight="1" x14ac:dyDescent="0.3">
      <c r="A65" s="26" t="s">
        <v>293</v>
      </c>
      <c r="B65" s="17" t="s">
        <v>46</v>
      </c>
      <c r="C65" s="22" t="s">
        <v>47</v>
      </c>
      <c r="D65" s="38">
        <v>215.25</v>
      </c>
      <c r="E65" s="39">
        <v>17.84</v>
      </c>
      <c r="F65" s="38">
        <f t="shared" ref="F65:F66" si="39">ROUND(D65*E65,2)</f>
        <v>3840.06</v>
      </c>
      <c r="G65" s="83"/>
      <c r="H65" s="83"/>
      <c r="I65" s="83"/>
      <c r="J65" s="83"/>
      <c r="K65" s="83"/>
      <c r="L65" s="83"/>
      <c r="M65" s="83">
        <v>212.1</v>
      </c>
      <c r="N65" s="83">
        <v>536.35</v>
      </c>
      <c r="O65" s="83">
        <v>128.16999999999999</v>
      </c>
      <c r="P65" s="83">
        <v>54.57</v>
      </c>
      <c r="Q65" s="33">
        <f t="shared" si="35"/>
        <v>145.4435</v>
      </c>
      <c r="R65" s="33">
        <f t="shared" si="36"/>
        <v>1018.1044999999999</v>
      </c>
      <c r="S65" s="33">
        <f t="shared" si="37"/>
        <v>1745.3219999999999</v>
      </c>
      <c r="T65" s="33"/>
      <c r="U65" s="33"/>
      <c r="V65" s="33"/>
      <c r="W65" s="33"/>
      <c r="X65" s="33"/>
      <c r="Y65" s="33"/>
      <c r="Z65" s="96">
        <f t="shared" si="2"/>
        <v>3840.0600000000004</v>
      </c>
      <c r="AD65" s="59">
        <f t="shared" si="3"/>
        <v>3840.0600000000004</v>
      </c>
      <c r="AF65" s="59">
        <f t="shared" si="4"/>
        <v>0</v>
      </c>
    </row>
    <row r="66" spans="1:32" s="14" customFormat="1" ht="46.95" customHeight="1" x14ac:dyDescent="0.3">
      <c r="A66" s="26" t="s">
        <v>294</v>
      </c>
      <c r="B66" s="17" t="s">
        <v>55</v>
      </c>
      <c r="C66" s="22" t="s">
        <v>47</v>
      </c>
      <c r="D66" s="38">
        <v>215.25</v>
      </c>
      <c r="E66" s="39">
        <v>32.71</v>
      </c>
      <c r="F66" s="38">
        <f t="shared" si="39"/>
        <v>7040.83</v>
      </c>
      <c r="G66" s="83"/>
      <c r="H66" s="83"/>
      <c r="I66" s="83"/>
      <c r="J66" s="83"/>
      <c r="K66" s="83"/>
      <c r="L66" s="83"/>
      <c r="M66" s="83">
        <v>388.9</v>
      </c>
      <c r="N66" s="83">
        <v>983.41</v>
      </c>
      <c r="O66" s="83">
        <v>235</v>
      </c>
      <c r="P66" s="83">
        <v>100.06</v>
      </c>
      <c r="Q66" s="33">
        <f t="shared" si="35"/>
        <v>266.673</v>
      </c>
      <c r="R66" s="33">
        <f t="shared" si="36"/>
        <v>1866.7109999999998</v>
      </c>
      <c r="S66" s="33">
        <f t="shared" si="37"/>
        <v>3200.076</v>
      </c>
      <c r="T66" s="33"/>
      <c r="U66" s="33"/>
      <c r="V66" s="33"/>
      <c r="W66" s="33"/>
      <c r="X66" s="33"/>
      <c r="Y66" s="33"/>
      <c r="Z66" s="96">
        <f t="shared" si="2"/>
        <v>7040.83</v>
      </c>
      <c r="AA66" s="13"/>
      <c r="AD66" s="59">
        <f t="shared" si="3"/>
        <v>7040.83</v>
      </c>
      <c r="AF66" s="59">
        <f t="shared" si="4"/>
        <v>0</v>
      </c>
    </row>
    <row r="67" spans="1:32" ht="46.95" customHeight="1" x14ac:dyDescent="0.3">
      <c r="A67" s="27" t="s">
        <v>295</v>
      </c>
      <c r="B67" s="18" t="s">
        <v>56</v>
      </c>
      <c r="C67" s="43"/>
      <c r="D67" s="37"/>
      <c r="E67" s="67"/>
      <c r="F67" s="37">
        <f t="shared" ref="F67:Y67" si="40">SUM(F68)</f>
        <v>24151.24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1116.55</v>
      </c>
      <c r="N67" s="82">
        <v>2914.36</v>
      </c>
      <c r="O67" s="82">
        <v>756.46</v>
      </c>
      <c r="P67" s="82">
        <f t="shared" si="40"/>
        <v>419.65</v>
      </c>
      <c r="Q67" s="32">
        <f t="shared" si="40"/>
        <v>947.21100000000013</v>
      </c>
      <c r="R67" s="32">
        <f t="shared" si="40"/>
        <v>6630.4769999999999</v>
      </c>
      <c r="S67" s="32">
        <f t="shared" si="40"/>
        <v>11366.532000000001</v>
      </c>
      <c r="T67" s="32">
        <f t="shared" si="40"/>
        <v>0</v>
      </c>
      <c r="U67" s="32">
        <f t="shared" si="40"/>
        <v>0</v>
      </c>
      <c r="V67" s="32">
        <f t="shared" si="40"/>
        <v>0</v>
      </c>
      <c r="W67" s="32">
        <f t="shared" si="40"/>
        <v>0</v>
      </c>
      <c r="X67" s="32">
        <f t="shared" si="40"/>
        <v>0</v>
      </c>
      <c r="Y67" s="32">
        <f t="shared" si="40"/>
        <v>0</v>
      </c>
      <c r="Z67" s="95">
        <f t="shared" si="2"/>
        <v>24151.239999999998</v>
      </c>
      <c r="AD67" s="59">
        <f t="shared" si="3"/>
        <v>24151.239999999998</v>
      </c>
      <c r="AF67" s="59">
        <f t="shared" si="4"/>
        <v>0</v>
      </c>
    </row>
    <row r="68" spans="1:32" s="14" customFormat="1" ht="46.95" customHeight="1" x14ac:dyDescent="0.3">
      <c r="A68" s="26" t="s">
        <v>296</v>
      </c>
      <c r="B68" s="17" t="s">
        <v>57</v>
      </c>
      <c r="C68" s="22" t="s">
        <v>28</v>
      </c>
      <c r="D68" s="38">
        <v>1600.48</v>
      </c>
      <c r="E68" s="39">
        <v>15.09</v>
      </c>
      <c r="F68" s="38">
        <v>24151.24</v>
      </c>
      <c r="G68" s="83"/>
      <c r="H68" s="83"/>
      <c r="I68" s="83"/>
      <c r="J68" s="83"/>
      <c r="K68" s="83"/>
      <c r="L68" s="83"/>
      <c r="M68" s="83">
        <v>1116.55</v>
      </c>
      <c r="N68" s="83">
        <v>2914.36</v>
      </c>
      <c r="O68" s="83">
        <v>756.46</v>
      </c>
      <c r="P68" s="83">
        <v>419.65</v>
      </c>
      <c r="Q68" s="33">
        <f t="shared" ref="Q68" si="41">(F68-SUM(G68:P68))*0.05</f>
        <v>947.21100000000013</v>
      </c>
      <c r="R68" s="33">
        <f t="shared" ref="R68" si="42">(F68-SUM(G68:P68))*0.35</f>
        <v>6630.4769999999999</v>
      </c>
      <c r="S68" s="33">
        <f t="shared" ref="S68" si="43">(F68-SUM(G68:P68))*0.6</f>
        <v>11366.532000000001</v>
      </c>
      <c r="T68" s="33"/>
      <c r="U68" s="33"/>
      <c r="V68" s="33"/>
      <c r="W68" s="33"/>
      <c r="X68" s="33"/>
      <c r="Y68" s="33"/>
      <c r="Z68" s="96">
        <f t="shared" si="2"/>
        <v>24151.239999999998</v>
      </c>
      <c r="AA68" s="13"/>
      <c r="AD68" s="59">
        <f t="shared" si="3"/>
        <v>24151.239999999998</v>
      </c>
      <c r="AF68" s="59">
        <f t="shared" si="4"/>
        <v>0</v>
      </c>
    </row>
    <row r="69" spans="1:32" ht="46.95" customHeight="1" x14ac:dyDescent="0.3">
      <c r="A69" s="27" t="s">
        <v>297</v>
      </c>
      <c r="B69" s="18" t="s">
        <v>75</v>
      </c>
      <c r="C69" s="43"/>
      <c r="D69" s="37"/>
      <c r="E69" s="67"/>
      <c r="F69" s="37">
        <f t="shared" ref="F69:Y69" si="44">SUM(F70:F75)</f>
        <v>253397.54</v>
      </c>
      <c r="G69" s="82">
        <v>0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12241.26</v>
      </c>
      <c r="N69" s="82">
        <v>29907.749999999996</v>
      </c>
      <c r="O69" s="82">
        <v>9324.7200000000012</v>
      </c>
      <c r="P69" s="82">
        <f t="shared" si="44"/>
        <v>4996.7</v>
      </c>
      <c r="Q69" s="32">
        <f t="shared" si="44"/>
        <v>9846.3554999999997</v>
      </c>
      <c r="R69" s="32">
        <f t="shared" si="44"/>
        <v>68924.488499999992</v>
      </c>
      <c r="S69" s="32">
        <f t="shared" si="44"/>
        <v>118156.26599999999</v>
      </c>
      <c r="T69" s="32">
        <f t="shared" si="44"/>
        <v>0</v>
      </c>
      <c r="U69" s="32">
        <f t="shared" si="44"/>
        <v>0</v>
      </c>
      <c r="V69" s="32">
        <f t="shared" si="44"/>
        <v>0</v>
      </c>
      <c r="W69" s="32">
        <f t="shared" si="44"/>
        <v>0</v>
      </c>
      <c r="X69" s="32">
        <f t="shared" si="44"/>
        <v>0</v>
      </c>
      <c r="Y69" s="32">
        <f t="shared" si="44"/>
        <v>0</v>
      </c>
      <c r="Z69" s="95">
        <f t="shared" si="2"/>
        <v>253397.53999999998</v>
      </c>
      <c r="AD69" s="59">
        <f t="shared" si="3"/>
        <v>253397.53999999998</v>
      </c>
      <c r="AF69" s="59">
        <f t="shared" si="4"/>
        <v>0</v>
      </c>
    </row>
    <row r="70" spans="1:32" ht="46.95" customHeight="1" x14ac:dyDescent="0.3">
      <c r="A70" s="26" t="s">
        <v>298</v>
      </c>
      <c r="B70" s="20" t="s">
        <v>76</v>
      </c>
      <c r="C70" s="22" t="s">
        <v>28</v>
      </c>
      <c r="D70" s="38">
        <v>652.6</v>
      </c>
      <c r="E70" s="39">
        <v>74.760000000000005</v>
      </c>
      <c r="F70" s="38">
        <v>48788.38</v>
      </c>
      <c r="G70" s="83"/>
      <c r="H70" s="83"/>
      <c r="I70" s="83"/>
      <c r="J70" s="83"/>
      <c r="K70" s="83"/>
      <c r="L70" s="83"/>
      <c r="M70" s="83">
        <v>2332.5100000000002</v>
      </c>
      <c r="N70" s="83">
        <v>4958.83</v>
      </c>
      <c r="O70" s="83">
        <v>1586.41</v>
      </c>
      <c r="P70" s="83">
        <v>794.7</v>
      </c>
      <c r="Q70" s="33">
        <f t="shared" ref="Q70:Q75" si="45">(F70-SUM(G70:P70))*0.05</f>
        <v>1955.7964999999997</v>
      </c>
      <c r="R70" s="33">
        <f t="shared" ref="R70:R75" si="46">(F70-SUM(G70:P70))*0.35</f>
        <v>13690.575499999997</v>
      </c>
      <c r="S70" s="33">
        <f t="shared" ref="S70:S75" si="47">(F70-SUM(G70:P70))*0.6</f>
        <v>23469.557999999994</v>
      </c>
      <c r="T70" s="33"/>
      <c r="U70" s="33"/>
      <c r="V70" s="33"/>
      <c r="W70" s="33"/>
      <c r="X70" s="33"/>
      <c r="Y70" s="33"/>
      <c r="Z70" s="96">
        <f t="shared" si="2"/>
        <v>48788.37999999999</v>
      </c>
      <c r="AD70" s="59">
        <f t="shared" si="3"/>
        <v>48788.37999999999</v>
      </c>
      <c r="AF70" s="59">
        <f t="shared" si="4"/>
        <v>0</v>
      </c>
    </row>
    <row r="71" spans="1:32" ht="46.95" customHeight="1" x14ac:dyDescent="0.3">
      <c r="A71" s="26" t="s">
        <v>299</v>
      </c>
      <c r="B71" s="20" t="s">
        <v>77</v>
      </c>
      <c r="C71" s="22" t="s">
        <v>28</v>
      </c>
      <c r="D71" s="38">
        <v>1600.48</v>
      </c>
      <c r="E71" s="39">
        <v>78.8</v>
      </c>
      <c r="F71" s="38">
        <v>126117.82</v>
      </c>
      <c r="G71" s="83"/>
      <c r="H71" s="83"/>
      <c r="I71" s="83"/>
      <c r="J71" s="83"/>
      <c r="K71" s="83"/>
      <c r="L71" s="83"/>
      <c r="M71" s="83">
        <v>5830.65</v>
      </c>
      <c r="N71" s="83">
        <v>15218.8</v>
      </c>
      <c r="O71" s="83">
        <v>3950.24</v>
      </c>
      <c r="P71" s="83">
        <v>2191.4299999999998</v>
      </c>
      <c r="Q71" s="33">
        <f t="shared" si="45"/>
        <v>4946.3350000000009</v>
      </c>
      <c r="R71" s="33">
        <f t="shared" si="46"/>
        <v>34624.345000000001</v>
      </c>
      <c r="S71" s="33">
        <f t="shared" si="47"/>
        <v>59356.020000000004</v>
      </c>
      <c r="T71" s="33"/>
      <c r="U71" s="33"/>
      <c r="V71" s="33"/>
      <c r="W71" s="33"/>
      <c r="X71" s="33"/>
      <c r="Y71" s="33"/>
      <c r="Z71" s="96">
        <f t="shared" si="2"/>
        <v>126117.81999999999</v>
      </c>
      <c r="AD71" s="59">
        <f t="shared" si="3"/>
        <v>126117.81999999999</v>
      </c>
      <c r="AF71" s="59">
        <f t="shared" si="4"/>
        <v>0</v>
      </c>
    </row>
    <row r="72" spans="1:32" ht="46.95" customHeight="1" x14ac:dyDescent="0.3">
      <c r="A72" s="26" t="s">
        <v>300</v>
      </c>
      <c r="B72" s="20" t="s">
        <v>78</v>
      </c>
      <c r="C72" s="22" t="s">
        <v>47</v>
      </c>
      <c r="D72" s="38">
        <v>39.200000000000003</v>
      </c>
      <c r="E72" s="39">
        <v>369.69</v>
      </c>
      <c r="F72" s="38">
        <f t="shared" ref="F72" si="48">ROUND(D72*E72,2)</f>
        <v>14491.85</v>
      </c>
      <c r="G72" s="83"/>
      <c r="H72" s="83"/>
      <c r="I72" s="83"/>
      <c r="J72" s="83"/>
      <c r="K72" s="83"/>
      <c r="L72" s="83"/>
      <c r="M72" s="83">
        <v>1386.34</v>
      </c>
      <c r="N72" s="83">
        <v>3260.67</v>
      </c>
      <c r="O72" s="83">
        <v>617.38</v>
      </c>
      <c r="P72" s="83"/>
      <c r="Q72" s="33">
        <f t="shared" si="45"/>
        <v>461.37299999999999</v>
      </c>
      <c r="R72" s="33">
        <f t="shared" si="46"/>
        <v>3229.6109999999994</v>
      </c>
      <c r="S72" s="33">
        <f t="shared" si="47"/>
        <v>5536.4759999999997</v>
      </c>
      <c r="T72" s="33"/>
      <c r="U72" s="33"/>
      <c r="V72" s="33"/>
      <c r="W72" s="33"/>
      <c r="X72" s="33"/>
      <c r="Y72" s="33"/>
      <c r="Z72" s="96">
        <f t="shared" si="2"/>
        <v>14491.849999999999</v>
      </c>
      <c r="AD72" s="59">
        <f t="shared" si="3"/>
        <v>14491.849999999999</v>
      </c>
      <c r="AF72" s="59">
        <f t="shared" si="4"/>
        <v>0</v>
      </c>
    </row>
    <row r="73" spans="1:32" ht="46.95" customHeight="1" x14ac:dyDescent="0.3">
      <c r="A73" s="26" t="s">
        <v>301</v>
      </c>
      <c r="B73" s="20" t="s">
        <v>62</v>
      </c>
      <c r="C73" s="22" t="s">
        <v>28</v>
      </c>
      <c r="D73" s="38">
        <v>1600.48</v>
      </c>
      <c r="E73" s="39">
        <v>18.73</v>
      </c>
      <c r="F73" s="38">
        <v>29976.99</v>
      </c>
      <c r="G73" s="83"/>
      <c r="H73" s="83"/>
      <c r="I73" s="83"/>
      <c r="J73" s="83"/>
      <c r="K73" s="83"/>
      <c r="L73" s="83"/>
      <c r="M73" s="83">
        <v>1385.89</v>
      </c>
      <c r="N73" s="83">
        <v>3617.36</v>
      </c>
      <c r="O73" s="83">
        <v>938.93</v>
      </c>
      <c r="P73" s="83">
        <v>520.88</v>
      </c>
      <c r="Q73" s="33">
        <f t="shared" si="45"/>
        <v>1175.6965</v>
      </c>
      <c r="R73" s="33">
        <f t="shared" si="46"/>
        <v>8229.8755000000001</v>
      </c>
      <c r="S73" s="33">
        <f t="shared" si="47"/>
        <v>14108.358</v>
      </c>
      <c r="T73" s="33"/>
      <c r="U73" s="33"/>
      <c r="V73" s="33"/>
      <c r="W73" s="33"/>
      <c r="X73" s="33"/>
      <c r="Y73" s="33"/>
      <c r="Z73" s="96">
        <f t="shared" si="2"/>
        <v>29976.99</v>
      </c>
      <c r="AD73" s="59">
        <f t="shared" si="3"/>
        <v>29976.99</v>
      </c>
      <c r="AF73" s="59">
        <f t="shared" si="4"/>
        <v>0</v>
      </c>
    </row>
    <row r="74" spans="1:32" ht="46.95" customHeight="1" x14ac:dyDescent="0.3">
      <c r="A74" s="26" t="s">
        <v>302</v>
      </c>
      <c r="B74" s="20" t="s">
        <v>63</v>
      </c>
      <c r="C74" s="22" t="s">
        <v>32</v>
      </c>
      <c r="D74" s="38">
        <v>2772.96</v>
      </c>
      <c r="E74" s="39">
        <v>11.04</v>
      </c>
      <c r="F74" s="38">
        <v>30613.48</v>
      </c>
      <c r="G74" s="83"/>
      <c r="H74" s="83"/>
      <c r="I74" s="83"/>
      <c r="J74" s="83"/>
      <c r="K74" s="83"/>
      <c r="L74" s="83"/>
      <c r="M74" s="83">
        <v>1148.27</v>
      </c>
      <c r="N74" s="83">
        <v>2440.7199999999998</v>
      </c>
      <c r="O74" s="83">
        <v>2124.98</v>
      </c>
      <c r="P74" s="83">
        <v>1430.45</v>
      </c>
      <c r="Q74" s="33">
        <f t="shared" si="45"/>
        <v>1173.4530000000002</v>
      </c>
      <c r="R74" s="33">
        <f t="shared" si="46"/>
        <v>8214.1710000000003</v>
      </c>
      <c r="S74" s="33">
        <f t="shared" si="47"/>
        <v>14081.436</v>
      </c>
      <c r="T74" s="33"/>
      <c r="U74" s="33"/>
      <c r="V74" s="33"/>
      <c r="W74" s="33"/>
      <c r="X74" s="33"/>
      <c r="Y74" s="33"/>
      <c r="Z74" s="96">
        <f t="shared" si="2"/>
        <v>30613.480000000003</v>
      </c>
      <c r="AD74" s="59">
        <f t="shared" si="3"/>
        <v>30613.480000000003</v>
      </c>
      <c r="AF74" s="59">
        <f t="shared" si="4"/>
        <v>0</v>
      </c>
    </row>
    <row r="75" spans="1:32" ht="46.95" customHeight="1" x14ac:dyDescent="0.3">
      <c r="A75" s="26" t="s">
        <v>303</v>
      </c>
      <c r="B75" s="17" t="s">
        <v>79</v>
      </c>
      <c r="C75" s="22" t="s">
        <v>28</v>
      </c>
      <c r="D75" s="38">
        <v>1600.48</v>
      </c>
      <c r="E75" s="39">
        <v>2.13</v>
      </c>
      <c r="F75" s="38">
        <v>3409.02</v>
      </c>
      <c r="G75" s="83"/>
      <c r="H75" s="83"/>
      <c r="I75" s="83"/>
      <c r="J75" s="83"/>
      <c r="K75" s="83"/>
      <c r="L75" s="83"/>
      <c r="M75" s="83">
        <v>157.6</v>
      </c>
      <c r="N75" s="83">
        <v>411.37</v>
      </c>
      <c r="O75" s="83">
        <v>106.78</v>
      </c>
      <c r="P75" s="83">
        <v>59.24</v>
      </c>
      <c r="Q75" s="33">
        <f t="shared" si="45"/>
        <v>133.70149999999998</v>
      </c>
      <c r="R75" s="33">
        <f t="shared" si="46"/>
        <v>935.91049999999984</v>
      </c>
      <c r="S75" s="33">
        <f t="shared" si="47"/>
        <v>1604.4179999999999</v>
      </c>
      <c r="T75" s="33"/>
      <c r="U75" s="33"/>
      <c r="V75" s="33"/>
      <c r="W75" s="33"/>
      <c r="X75" s="33"/>
      <c r="Y75" s="33"/>
      <c r="Z75" s="96">
        <f t="shared" si="2"/>
        <v>3409.0199999999995</v>
      </c>
      <c r="AD75" s="59">
        <f t="shared" ref="AD75:AD135" si="49">SUM(G75:Y75)</f>
        <v>3409.0199999999995</v>
      </c>
      <c r="AF75" s="59">
        <f t="shared" ref="AF75:AF135" si="50">F75-AD75</f>
        <v>0</v>
      </c>
    </row>
    <row r="76" spans="1:32" s="14" customFormat="1" ht="46.95" customHeight="1" x14ac:dyDescent="0.3">
      <c r="A76" s="28" t="s">
        <v>304</v>
      </c>
      <c r="B76" s="19" t="s">
        <v>80</v>
      </c>
      <c r="C76" s="42"/>
      <c r="D76" s="36"/>
      <c r="E76" s="39"/>
      <c r="F76" s="46">
        <f t="shared" ref="F76:Y76" si="51">F77+F79+F83+F88+F92</f>
        <v>1005210.48</v>
      </c>
      <c r="G76" s="81">
        <v>0</v>
      </c>
      <c r="H76" s="81">
        <v>0</v>
      </c>
      <c r="I76" s="81">
        <v>0</v>
      </c>
      <c r="J76" s="81">
        <v>0</v>
      </c>
      <c r="K76" s="81">
        <v>0</v>
      </c>
      <c r="L76" s="81">
        <v>0</v>
      </c>
      <c r="M76" s="81">
        <v>16424.5</v>
      </c>
      <c r="N76" s="81">
        <v>42718.390000000007</v>
      </c>
      <c r="O76" s="81">
        <v>110033.90000000001</v>
      </c>
      <c r="P76" s="81">
        <f t="shared" si="51"/>
        <v>96038.24</v>
      </c>
      <c r="Q76" s="60">
        <f t="shared" si="51"/>
        <v>34358.185000000005</v>
      </c>
      <c r="R76" s="60">
        <f t="shared" si="51"/>
        <v>214770.33700000003</v>
      </c>
      <c r="S76" s="60">
        <f t="shared" si="51"/>
        <v>350961.89466666675</v>
      </c>
      <c r="T76" s="60">
        <f t="shared" si="51"/>
        <v>41611.506666666668</v>
      </c>
      <c r="U76" s="60">
        <f t="shared" si="51"/>
        <v>41611.506666666668</v>
      </c>
      <c r="V76" s="60">
        <f t="shared" si="51"/>
        <v>1319.52</v>
      </c>
      <c r="W76" s="60">
        <f t="shared" si="51"/>
        <v>27681.25</v>
      </c>
      <c r="X76" s="60">
        <f t="shared" si="51"/>
        <v>27681.25</v>
      </c>
      <c r="Y76" s="60">
        <f t="shared" si="51"/>
        <v>0</v>
      </c>
      <c r="Z76" s="94">
        <f t="shared" ref="Z76:Z139" si="52">SUM(G76:Y76)</f>
        <v>1005210.4800000002</v>
      </c>
      <c r="AA76" s="13"/>
      <c r="AD76" s="59">
        <f t="shared" si="49"/>
        <v>1005210.4800000002</v>
      </c>
      <c r="AF76" s="59">
        <f t="shared" si="50"/>
        <v>0</v>
      </c>
    </row>
    <row r="77" spans="1:32" ht="46.95" customHeight="1" x14ac:dyDescent="0.3">
      <c r="A77" s="27" t="s">
        <v>305</v>
      </c>
      <c r="B77" s="18" t="s">
        <v>34</v>
      </c>
      <c r="C77" s="43"/>
      <c r="D77" s="37"/>
      <c r="E77" s="67"/>
      <c r="F77" s="37">
        <f t="shared" ref="F77:Y77" si="53">SUM(F78)</f>
        <v>12541.55</v>
      </c>
      <c r="G77" s="82">
        <v>0</v>
      </c>
      <c r="H77" s="82">
        <v>0</v>
      </c>
      <c r="I77" s="82">
        <v>0</v>
      </c>
      <c r="J77" s="82">
        <v>0</v>
      </c>
      <c r="K77" s="82">
        <v>0</v>
      </c>
      <c r="L77" s="82">
        <v>0</v>
      </c>
      <c r="M77" s="82">
        <v>200.16</v>
      </c>
      <c r="N77" s="82">
        <v>961.88</v>
      </c>
      <c r="O77" s="82">
        <v>2289.33</v>
      </c>
      <c r="P77" s="82">
        <f t="shared" si="53"/>
        <v>1937.27</v>
      </c>
      <c r="Q77" s="32">
        <f t="shared" si="53"/>
        <v>1430.5820000000001</v>
      </c>
      <c r="R77" s="32">
        <f t="shared" si="53"/>
        <v>5722.3280000000004</v>
      </c>
      <c r="S77" s="32">
        <f t="shared" si="53"/>
        <v>0</v>
      </c>
      <c r="T77" s="32">
        <f t="shared" si="53"/>
        <v>0</v>
      </c>
      <c r="U77" s="32">
        <f t="shared" si="53"/>
        <v>0</v>
      </c>
      <c r="V77" s="32">
        <f t="shared" si="53"/>
        <v>0</v>
      </c>
      <c r="W77" s="32">
        <f t="shared" si="53"/>
        <v>0</v>
      </c>
      <c r="X77" s="32">
        <f t="shared" si="53"/>
        <v>0</v>
      </c>
      <c r="Y77" s="32">
        <f t="shared" si="53"/>
        <v>0</v>
      </c>
      <c r="Z77" s="95">
        <f t="shared" si="52"/>
        <v>12541.55</v>
      </c>
      <c r="AD77" s="59">
        <f t="shared" si="49"/>
        <v>12541.55</v>
      </c>
      <c r="AF77" s="59">
        <f t="shared" si="50"/>
        <v>0</v>
      </c>
    </row>
    <row r="78" spans="1:32" s="14" customFormat="1" ht="46.95" customHeight="1" x14ac:dyDescent="0.3">
      <c r="A78" s="26" t="s">
        <v>306</v>
      </c>
      <c r="B78" s="17" t="s">
        <v>81</v>
      </c>
      <c r="C78" s="22" t="s">
        <v>32</v>
      </c>
      <c r="D78" s="38">
        <v>4511.3500000000004</v>
      </c>
      <c r="E78" s="39">
        <v>2.78</v>
      </c>
      <c r="F78" s="38">
        <f t="shared" ref="F78" si="54">ROUND(D78*E78,2)</f>
        <v>12541.55</v>
      </c>
      <c r="G78" s="83"/>
      <c r="H78" s="83"/>
      <c r="I78" s="83"/>
      <c r="J78" s="83"/>
      <c r="K78" s="83"/>
      <c r="L78" s="83"/>
      <c r="M78" s="83">
        <v>200.16</v>
      </c>
      <c r="N78" s="83">
        <v>961.88</v>
      </c>
      <c r="O78" s="83">
        <v>2289.33</v>
      </c>
      <c r="P78" s="83">
        <v>1937.27</v>
      </c>
      <c r="Q78" s="33">
        <f>(F78-SUM(G78:P78))*0.2</f>
        <v>1430.5820000000001</v>
      </c>
      <c r="R78" s="33">
        <f>(F78-SUM(G78:P78))*0.8</f>
        <v>5722.3280000000004</v>
      </c>
      <c r="S78" s="33"/>
      <c r="T78" s="33"/>
      <c r="U78" s="33"/>
      <c r="V78" s="33"/>
      <c r="W78" s="33"/>
      <c r="X78" s="33"/>
      <c r="Y78" s="33"/>
      <c r="Z78" s="96">
        <f t="shared" si="52"/>
        <v>12541.55</v>
      </c>
      <c r="AA78" s="13"/>
      <c r="AD78" s="59">
        <f t="shared" si="49"/>
        <v>12541.55</v>
      </c>
      <c r="AF78" s="59">
        <f t="shared" si="50"/>
        <v>0</v>
      </c>
    </row>
    <row r="79" spans="1:32" ht="46.95" customHeight="1" x14ac:dyDescent="0.3">
      <c r="A79" s="27" t="s">
        <v>307</v>
      </c>
      <c r="B79" s="18" t="s">
        <v>51</v>
      </c>
      <c r="C79" s="43"/>
      <c r="D79" s="37"/>
      <c r="E79" s="67"/>
      <c r="F79" s="37">
        <f t="shared" ref="F79:Y79" si="55">SUM(F80:F82)</f>
        <v>47697.1</v>
      </c>
      <c r="G79" s="82">
        <v>0</v>
      </c>
      <c r="H79" s="82">
        <v>0</v>
      </c>
      <c r="I79" s="82">
        <v>0</v>
      </c>
      <c r="J79" s="82">
        <v>0</v>
      </c>
      <c r="K79" s="82">
        <v>0</v>
      </c>
      <c r="L79" s="82">
        <v>0</v>
      </c>
      <c r="M79" s="82">
        <v>761.34</v>
      </c>
      <c r="N79" s="82">
        <v>1816.9899999999998</v>
      </c>
      <c r="O79" s="82">
        <v>5078.7999999999993</v>
      </c>
      <c r="P79" s="82">
        <f t="shared" si="55"/>
        <v>4297.9500000000007</v>
      </c>
      <c r="Q79" s="32">
        <f t="shared" si="55"/>
        <v>7148.4040000000005</v>
      </c>
      <c r="R79" s="32">
        <f t="shared" si="55"/>
        <v>28593.616000000002</v>
      </c>
      <c r="S79" s="32">
        <f t="shared" si="55"/>
        <v>0</v>
      </c>
      <c r="T79" s="32">
        <f t="shared" si="55"/>
        <v>0</v>
      </c>
      <c r="U79" s="32">
        <f t="shared" si="55"/>
        <v>0</v>
      </c>
      <c r="V79" s="32">
        <f t="shared" si="55"/>
        <v>0</v>
      </c>
      <c r="W79" s="32">
        <f t="shared" si="55"/>
        <v>0</v>
      </c>
      <c r="X79" s="32">
        <f t="shared" si="55"/>
        <v>0</v>
      </c>
      <c r="Y79" s="32">
        <f t="shared" si="55"/>
        <v>0</v>
      </c>
      <c r="Z79" s="95">
        <f t="shared" si="52"/>
        <v>47697.100000000006</v>
      </c>
      <c r="AD79" s="59">
        <f t="shared" si="49"/>
        <v>47697.100000000006</v>
      </c>
      <c r="AF79" s="59">
        <f t="shared" si="50"/>
        <v>0</v>
      </c>
    </row>
    <row r="80" spans="1:32" ht="46.95" customHeight="1" x14ac:dyDescent="0.3">
      <c r="A80" s="26" t="s">
        <v>308</v>
      </c>
      <c r="B80" s="17" t="s">
        <v>82</v>
      </c>
      <c r="C80" s="22" t="s">
        <v>47</v>
      </c>
      <c r="D80" s="38">
        <v>406.02</v>
      </c>
      <c r="E80" s="39">
        <v>61.87</v>
      </c>
      <c r="F80" s="38">
        <f t="shared" ref="F80:F82" si="56">ROUND(D80*E80,2)</f>
        <v>25120.46</v>
      </c>
      <c r="G80" s="83"/>
      <c r="H80" s="83"/>
      <c r="I80" s="83"/>
      <c r="J80" s="83"/>
      <c r="K80" s="83"/>
      <c r="L80" s="83"/>
      <c r="M80" s="83">
        <v>400.92</v>
      </c>
      <c r="N80" s="83">
        <v>957.13</v>
      </c>
      <c r="O80" s="83">
        <v>2674.64</v>
      </c>
      <c r="P80" s="83">
        <v>2263.8200000000002</v>
      </c>
      <c r="Q80" s="33">
        <f t="shared" ref="Q80:Q82" si="57">(F80-SUM(G80:P80))*0.2</f>
        <v>3764.7899999999995</v>
      </c>
      <c r="R80" s="33">
        <f t="shared" ref="R80:R82" si="58">(F80-SUM(G80:P80))*0.8</f>
        <v>15059.159999999998</v>
      </c>
      <c r="S80" s="33"/>
      <c r="T80" s="33"/>
      <c r="U80" s="33"/>
      <c r="V80" s="33"/>
      <c r="W80" s="33"/>
      <c r="X80" s="33"/>
      <c r="Y80" s="33"/>
      <c r="Z80" s="96">
        <f t="shared" si="52"/>
        <v>25120.46</v>
      </c>
      <c r="AD80" s="59">
        <f t="shared" si="49"/>
        <v>25120.46</v>
      </c>
      <c r="AF80" s="59">
        <f t="shared" si="50"/>
        <v>0</v>
      </c>
    </row>
    <row r="81" spans="1:32" ht="46.95" customHeight="1" x14ac:dyDescent="0.3">
      <c r="A81" s="26" t="s">
        <v>309</v>
      </c>
      <c r="B81" s="17" t="s">
        <v>46</v>
      </c>
      <c r="C81" s="22" t="s">
        <v>47</v>
      </c>
      <c r="D81" s="38">
        <v>446.62</v>
      </c>
      <c r="E81" s="39">
        <v>17.84</v>
      </c>
      <c r="F81" s="38">
        <f t="shared" si="56"/>
        <v>7967.7</v>
      </c>
      <c r="G81" s="83"/>
      <c r="H81" s="83"/>
      <c r="I81" s="83"/>
      <c r="J81" s="83"/>
      <c r="K81" s="83"/>
      <c r="L81" s="83"/>
      <c r="M81" s="83">
        <v>127.2</v>
      </c>
      <c r="N81" s="83">
        <v>303.45999999999998</v>
      </c>
      <c r="O81" s="83">
        <v>848.47</v>
      </c>
      <c r="P81" s="83">
        <v>717.88</v>
      </c>
      <c r="Q81" s="33">
        <f t="shared" si="57"/>
        <v>1194.1379999999999</v>
      </c>
      <c r="R81" s="33">
        <f t="shared" si="58"/>
        <v>4776.5519999999997</v>
      </c>
      <c r="S81" s="33"/>
      <c r="T81" s="33"/>
      <c r="U81" s="33"/>
      <c r="V81" s="33"/>
      <c r="W81" s="33"/>
      <c r="X81" s="33"/>
      <c r="Y81" s="33"/>
      <c r="Z81" s="96">
        <f t="shared" si="52"/>
        <v>7967.7</v>
      </c>
      <c r="AD81" s="59">
        <f t="shared" si="49"/>
        <v>7967.7</v>
      </c>
      <c r="AF81" s="59">
        <f t="shared" si="50"/>
        <v>0</v>
      </c>
    </row>
    <row r="82" spans="1:32" s="14" customFormat="1" ht="46.95" customHeight="1" x14ac:dyDescent="0.3">
      <c r="A82" s="26" t="s">
        <v>310</v>
      </c>
      <c r="B82" s="17" t="s">
        <v>55</v>
      </c>
      <c r="C82" s="22" t="s">
        <v>47</v>
      </c>
      <c r="D82" s="38">
        <v>446.62</v>
      </c>
      <c r="E82" s="39">
        <v>32.71</v>
      </c>
      <c r="F82" s="38">
        <f t="shared" si="56"/>
        <v>14608.94</v>
      </c>
      <c r="G82" s="83"/>
      <c r="H82" s="83"/>
      <c r="I82" s="83"/>
      <c r="J82" s="83"/>
      <c r="K82" s="83"/>
      <c r="L82" s="83"/>
      <c r="M82" s="83">
        <v>233.22</v>
      </c>
      <c r="N82" s="83">
        <v>556.4</v>
      </c>
      <c r="O82" s="83">
        <v>1555.69</v>
      </c>
      <c r="P82" s="83">
        <v>1316.25</v>
      </c>
      <c r="Q82" s="33">
        <f t="shared" si="57"/>
        <v>2189.4760000000001</v>
      </c>
      <c r="R82" s="33">
        <f t="shared" si="58"/>
        <v>8757.9040000000005</v>
      </c>
      <c r="S82" s="33"/>
      <c r="T82" s="33"/>
      <c r="U82" s="33"/>
      <c r="V82" s="33"/>
      <c r="W82" s="33"/>
      <c r="X82" s="33"/>
      <c r="Y82" s="33"/>
      <c r="Z82" s="96">
        <f t="shared" si="52"/>
        <v>14608.94</v>
      </c>
      <c r="AA82" s="13"/>
      <c r="AD82" s="59">
        <f t="shared" si="49"/>
        <v>14608.94</v>
      </c>
      <c r="AF82" s="59">
        <f t="shared" si="50"/>
        <v>0</v>
      </c>
    </row>
    <row r="83" spans="1:32" ht="46.95" customHeight="1" x14ac:dyDescent="0.3">
      <c r="A83" s="27" t="s">
        <v>311</v>
      </c>
      <c r="B83" s="18" t="s">
        <v>83</v>
      </c>
      <c r="C83" s="43"/>
      <c r="D83" s="37"/>
      <c r="E83" s="67"/>
      <c r="F83" s="37">
        <f t="shared" ref="F83:Y83" si="59">SUM(F84:F87)</f>
        <v>748756.05999999994</v>
      </c>
      <c r="G83" s="82">
        <v>0</v>
      </c>
      <c r="H83" s="82">
        <v>0</v>
      </c>
      <c r="I83" s="82">
        <v>0</v>
      </c>
      <c r="J83" s="82">
        <v>0</v>
      </c>
      <c r="K83" s="82">
        <v>0</v>
      </c>
      <c r="L83" s="82">
        <v>0</v>
      </c>
      <c r="M83" s="82">
        <v>13236.080000000002</v>
      </c>
      <c r="N83" s="82">
        <v>38967.430000000008</v>
      </c>
      <c r="O83" s="82">
        <v>100352.15000000001</v>
      </c>
      <c r="P83" s="82">
        <f t="shared" si="59"/>
        <v>87845.19</v>
      </c>
      <c r="Q83" s="32">
        <f t="shared" si="59"/>
        <v>25417.760500000004</v>
      </c>
      <c r="R83" s="32">
        <f t="shared" si="59"/>
        <v>177924.3235</v>
      </c>
      <c r="S83" s="32">
        <f t="shared" si="59"/>
        <v>305013.12600000005</v>
      </c>
      <c r="T83" s="32">
        <f t="shared" si="59"/>
        <v>0</v>
      </c>
      <c r="U83" s="32">
        <f t="shared" si="59"/>
        <v>0</v>
      </c>
      <c r="V83" s="32">
        <f t="shared" si="59"/>
        <v>0</v>
      </c>
      <c r="W83" s="32">
        <f t="shared" si="59"/>
        <v>0</v>
      </c>
      <c r="X83" s="32">
        <f t="shared" si="59"/>
        <v>0</v>
      </c>
      <c r="Y83" s="32">
        <f t="shared" si="59"/>
        <v>0</v>
      </c>
      <c r="Z83" s="95">
        <f t="shared" si="52"/>
        <v>748756.06</v>
      </c>
      <c r="AD83" s="59">
        <f t="shared" si="49"/>
        <v>748756.06</v>
      </c>
      <c r="AF83" s="59">
        <f t="shared" si="50"/>
        <v>0</v>
      </c>
    </row>
    <row r="84" spans="1:32" ht="46.95" customHeight="1" x14ac:dyDescent="0.3">
      <c r="A84" s="26" t="s">
        <v>312</v>
      </c>
      <c r="B84" s="17" t="s">
        <v>84</v>
      </c>
      <c r="C84" s="22" t="s">
        <v>28</v>
      </c>
      <c r="D84" s="38">
        <v>5515.12</v>
      </c>
      <c r="E84" s="39">
        <v>72.760000000000005</v>
      </c>
      <c r="F84" s="38">
        <f t="shared" ref="F84:F94" si="60">ROUND(D84*E84,2)</f>
        <v>401280.13</v>
      </c>
      <c r="G84" s="83"/>
      <c r="H84" s="83"/>
      <c r="I84" s="83"/>
      <c r="J84" s="83"/>
      <c r="K84" s="83"/>
      <c r="L84" s="83"/>
      <c r="M84" s="83">
        <v>6404.34</v>
      </c>
      <c r="N84" s="83">
        <v>12528.54</v>
      </c>
      <c r="O84" s="83">
        <v>37299.69</v>
      </c>
      <c r="P84" s="83">
        <v>34974.28</v>
      </c>
      <c r="Q84" s="33">
        <f>(F84-SUM(G84:P84))*0.05</f>
        <v>15503.664000000002</v>
      </c>
      <c r="R84" s="33">
        <f>(F84-SUM(G84:P84))*0.35</f>
        <v>108525.648</v>
      </c>
      <c r="S84" s="33">
        <f>(F84-SUM(G84:P84))*0.6</f>
        <v>186043.96800000002</v>
      </c>
      <c r="T84" s="33"/>
      <c r="U84" s="33"/>
      <c r="V84" s="33"/>
      <c r="W84" s="33"/>
      <c r="X84" s="33"/>
      <c r="Y84" s="33"/>
      <c r="Z84" s="96">
        <f t="shared" si="52"/>
        <v>401280.13</v>
      </c>
      <c r="AD84" s="59">
        <f t="shared" si="49"/>
        <v>401280.13</v>
      </c>
      <c r="AF84" s="59">
        <f t="shared" si="50"/>
        <v>0</v>
      </c>
    </row>
    <row r="85" spans="1:32" ht="46.95" customHeight="1" x14ac:dyDescent="0.3">
      <c r="A85" s="26" t="s">
        <v>313</v>
      </c>
      <c r="B85" s="17" t="s">
        <v>314</v>
      </c>
      <c r="C85" s="22" t="s">
        <v>47</v>
      </c>
      <c r="D85" s="38">
        <v>406.02</v>
      </c>
      <c r="E85" s="39">
        <v>397.11</v>
      </c>
      <c r="F85" s="38">
        <f t="shared" si="60"/>
        <v>161234.6</v>
      </c>
      <c r="G85" s="83"/>
      <c r="H85" s="83"/>
      <c r="I85" s="83"/>
      <c r="J85" s="83"/>
      <c r="K85" s="83"/>
      <c r="L85" s="83"/>
      <c r="M85" s="83">
        <v>2573.27</v>
      </c>
      <c r="N85" s="83">
        <v>12366.01</v>
      </c>
      <c r="O85" s="83">
        <v>29433.79</v>
      </c>
      <c r="P85" s="83">
        <v>24906.74</v>
      </c>
      <c r="Q85" s="33">
        <f t="shared" ref="Q85:Q87" si="61">(F85-SUM(G85:P85))*0.05</f>
        <v>4597.7395000000006</v>
      </c>
      <c r="R85" s="33">
        <f t="shared" ref="R85:R87" si="62">(F85-SUM(G85:P85))*0.35</f>
        <v>32184.176500000001</v>
      </c>
      <c r="S85" s="33">
        <f t="shared" ref="S85:S87" si="63">(F85-SUM(G85:P85))*0.6</f>
        <v>55172.874000000003</v>
      </c>
      <c r="T85" s="33"/>
      <c r="U85" s="33"/>
      <c r="V85" s="33"/>
      <c r="W85" s="33"/>
      <c r="X85" s="33"/>
      <c r="Y85" s="33"/>
      <c r="Z85" s="96">
        <f t="shared" si="52"/>
        <v>161234.6</v>
      </c>
      <c r="AD85" s="59">
        <f t="shared" si="49"/>
        <v>161234.6</v>
      </c>
      <c r="AF85" s="59">
        <f t="shared" si="50"/>
        <v>0</v>
      </c>
    </row>
    <row r="86" spans="1:32" s="14" customFormat="1" ht="46.95" customHeight="1" x14ac:dyDescent="0.3">
      <c r="A86" s="26" t="s">
        <v>315</v>
      </c>
      <c r="B86" s="17" t="s">
        <v>85</v>
      </c>
      <c r="C86" s="22" t="s">
        <v>86</v>
      </c>
      <c r="D86" s="38">
        <v>25184.44</v>
      </c>
      <c r="E86" s="39">
        <v>6.88</v>
      </c>
      <c r="F86" s="38">
        <f t="shared" si="60"/>
        <v>173268.95</v>
      </c>
      <c r="G86" s="83"/>
      <c r="H86" s="83"/>
      <c r="I86" s="83"/>
      <c r="J86" s="83"/>
      <c r="K86" s="83"/>
      <c r="L86" s="83"/>
      <c r="M86" s="83">
        <v>4051.43</v>
      </c>
      <c r="N86" s="83">
        <v>13389.58</v>
      </c>
      <c r="O86" s="83">
        <v>31864.59</v>
      </c>
      <c r="P86" s="83">
        <v>26379.98</v>
      </c>
      <c r="Q86" s="33">
        <f t="shared" si="61"/>
        <v>4879.1685000000007</v>
      </c>
      <c r="R86" s="33">
        <f t="shared" si="62"/>
        <v>34154.179499999998</v>
      </c>
      <c r="S86" s="33">
        <f t="shared" si="63"/>
        <v>58550.022000000004</v>
      </c>
      <c r="T86" s="33"/>
      <c r="U86" s="33"/>
      <c r="V86" s="33"/>
      <c r="W86" s="33"/>
      <c r="X86" s="33"/>
      <c r="Y86" s="33"/>
      <c r="Z86" s="96">
        <f t="shared" si="52"/>
        <v>173268.95</v>
      </c>
      <c r="AA86" s="13"/>
      <c r="AD86" s="59">
        <f t="shared" si="49"/>
        <v>173268.95</v>
      </c>
      <c r="AF86" s="59">
        <f t="shared" si="50"/>
        <v>0</v>
      </c>
    </row>
    <row r="87" spans="1:32" ht="46.95" customHeight="1" x14ac:dyDescent="0.3">
      <c r="A87" s="26" t="s">
        <v>316</v>
      </c>
      <c r="B87" s="17" t="s">
        <v>87</v>
      </c>
      <c r="C87" s="22" t="s">
        <v>28</v>
      </c>
      <c r="D87" s="38">
        <v>6090.32</v>
      </c>
      <c r="E87" s="39">
        <v>2.13</v>
      </c>
      <c r="F87" s="38">
        <f t="shared" si="60"/>
        <v>12972.38</v>
      </c>
      <c r="G87" s="83"/>
      <c r="H87" s="83"/>
      <c r="I87" s="83"/>
      <c r="J87" s="83"/>
      <c r="K87" s="83"/>
      <c r="L87" s="83"/>
      <c r="M87" s="83">
        <v>207.04</v>
      </c>
      <c r="N87" s="83">
        <v>683.3</v>
      </c>
      <c r="O87" s="83">
        <v>1754.08</v>
      </c>
      <c r="P87" s="83">
        <v>1584.19</v>
      </c>
      <c r="Q87" s="33">
        <f t="shared" si="61"/>
        <v>437.18849999999998</v>
      </c>
      <c r="R87" s="33">
        <f t="shared" si="62"/>
        <v>3060.3194999999992</v>
      </c>
      <c r="S87" s="33">
        <f t="shared" si="63"/>
        <v>5246.2619999999988</v>
      </c>
      <c r="T87" s="33"/>
      <c r="U87" s="33"/>
      <c r="V87" s="33"/>
      <c r="W87" s="33"/>
      <c r="X87" s="33"/>
      <c r="Y87" s="33"/>
      <c r="Z87" s="96">
        <f t="shared" si="52"/>
        <v>12972.38</v>
      </c>
      <c r="AD87" s="59">
        <f t="shared" si="49"/>
        <v>12972.38</v>
      </c>
      <c r="AF87" s="59">
        <f t="shared" si="50"/>
        <v>0</v>
      </c>
    </row>
    <row r="88" spans="1:32" ht="46.95" customHeight="1" x14ac:dyDescent="0.3">
      <c r="A88" s="27" t="s">
        <v>317</v>
      </c>
      <c r="B88" s="18" t="s">
        <v>88</v>
      </c>
      <c r="C88" s="43"/>
      <c r="D88" s="37"/>
      <c r="E88" s="67"/>
      <c r="F88" s="37">
        <f t="shared" ref="F88:Y88" si="64">SUM(F89:F91)</f>
        <v>194896.25</v>
      </c>
      <c r="G88" s="82">
        <v>0</v>
      </c>
      <c r="H88" s="82">
        <v>0</v>
      </c>
      <c r="I88" s="82">
        <v>0</v>
      </c>
      <c r="J88" s="82">
        <v>0</v>
      </c>
      <c r="K88" s="82">
        <v>0</v>
      </c>
      <c r="L88" s="82">
        <v>0</v>
      </c>
      <c r="M88" s="82">
        <v>2226.92</v>
      </c>
      <c r="N88" s="82">
        <v>972.09</v>
      </c>
      <c r="O88" s="82">
        <v>2313.62</v>
      </c>
      <c r="P88" s="82">
        <f t="shared" si="64"/>
        <v>1957.83</v>
      </c>
      <c r="Q88" s="32">
        <f t="shared" si="64"/>
        <v>361.43850000000003</v>
      </c>
      <c r="R88" s="32">
        <f t="shared" si="64"/>
        <v>2530.0695000000001</v>
      </c>
      <c r="S88" s="32">
        <f t="shared" si="64"/>
        <v>45948.76866666667</v>
      </c>
      <c r="T88" s="32">
        <f t="shared" si="64"/>
        <v>41611.506666666668</v>
      </c>
      <c r="U88" s="32">
        <f t="shared" si="64"/>
        <v>41611.506666666668</v>
      </c>
      <c r="V88" s="32">
        <f t="shared" si="64"/>
        <v>0</v>
      </c>
      <c r="W88" s="32">
        <f t="shared" si="64"/>
        <v>27681.25</v>
      </c>
      <c r="X88" s="32">
        <f t="shared" si="64"/>
        <v>27681.25</v>
      </c>
      <c r="Y88" s="32">
        <f t="shared" si="64"/>
        <v>0</v>
      </c>
      <c r="Z88" s="95">
        <f t="shared" si="52"/>
        <v>194896.25</v>
      </c>
      <c r="AD88" s="59">
        <f t="shared" si="49"/>
        <v>194896.25</v>
      </c>
      <c r="AF88" s="59">
        <f t="shared" si="50"/>
        <v>0</v>
      </c>
    </row>
    <row r="89" spans="1:32" ht="46.95" customHeight="1" x14ac:dyDescent="0.3">
      <c r="A89" s="26" t="s">
        <v>318</v>
      </c>
      <c r="B89" s="17" t="s">
        <v>62</v>
      </c>
      <c r="C89" s="22" t="s">
        <v>28</v>
      </c>
      <c r="D89" s="38">
        <v>676.7</v>
      </c>
      <c r="E89" s="39">
        <v>18.73</v>
      </c>
      <c r="F89" s="38">
        <f t="shared" si="60"/>
        <v>12674.59</v>
      </c>
      <c r="G89" s="83"/>
      <c r="H89" s="83"/>
      <c r="I89" s="83"/>
      <c r="J89" s="83"/>
      <c r="K89" s="83"/>
      <c r="L89" s="83"/>
      <c r="M89" s="83">
        <v>202.28</v>
      </c>
      <c r="N89" s="83">
        <v>972.09</v>
      </c>
      <c r="O89" s="83">
        <v>2313.62</v>
      </c>
      <c r="P89" s="83">
        <v>1957.83</v>
      </c>
      <c r="Q89" s="33">
        <f>(F89-SUM(G89:P89))*0.05</f>
        <v>361.43850000000003</v>
      </c>
      <c r="R89" s="33">
        <f>(F89-SUM(G89:P89))*0.35</f>
        <v>2530.0695000000001</v>
      </c>
      <c r="S89" s="33">
        <f>(F89-SUM(G89:P89))*0.6</f>
        <v>4337.2619999999997</v>
      </c>
      <c r="T89" s="33"/>
      <c r="U89" s="33"/>
      <c r="V89" s="33"/>
      <c r="W89" s="33"/>
      <c r="X89" s="33"/>
      <c r="Y89" s="33"/>
      <c r="Z89" s="96">
        <f t="shared" si="52"/>
        <v>12674.59</v>
      </c>
      <c r="AD89" s="59">
        <f t="shared" si="49"/>
        <v>12674.59</v>
      </c>
      <c r="AF89" s="59">
        <f t="shared" si="50"/>
        <v>0</v>
      </c>
    </row>
    <row r="90" spans="1:32" s="14" customFormat="1" ht="46.95" customHeight="1" x14ac:dyDescent="0.3">
      <c r="A90" s="26" t="s">
        <v>319</v>
      </c>
      <c r="B90" s="17" t="s">
        <v>89</v>
      </c>
      <c r="C90" s="22" t="s">
        <v>32</v>
      </c>
      <c r="D90" s="38">
        <v>4511.3500000000004</v>
      </c>
      <c r="E90" s="39">
        <v>28.12</v>
      </c>
      <c r="F90" s="38">
        <f t="shared" si="60"/>
        <v>126859.16</v>
      </c>
      <c r="G90" s="83"/>
      <c r="H90" s="83"/>
      <c r="I90" s="83"/>
      <c r="J90" s="83"/>
      <c r="K90" s="83"/>
      <c r="L90" s="83"/>
      <c r="M90" s="83">
        <v>2024.64</v>
      </c>
      <c r="N90" s="83"/>
      <c r="O90" s="83"/>
      <c r="P90" s="83"/>
      <c r="Q90" s="70"/>
      <c r="R90" s="70"/>
      <c r="S90" s="33">
        <f>(F90-SUM(G90:P90))/3</f>
        <v>41611.506666666668</v>
      </c>
      <c r="T90" s="33">
        <f>S90</f>
        <v>41611.506666666668</v>
      </c>
      <c r="U90" s="33">
        <f>S90</f>
        <v>41611.506666666668</v>
      </c>
      <c r="V90" s="33"/>
      <c r="W90" s="33"/>
      <c r="X90" s="33"/>
      <c r="Y90" s="33"/>
      <c r="Z90" s="96">
        <f t="shared" si="52"/>
        <v>126859.16</v>
      </c>
      <c r="AA90" s="13"/>
      <c r="AD90" s="59">
        <f t="shared" si="49"/>
        <v>126859.16</v>
      </c>
      <c r="AF90" s="59">
        <f t="shared" si="50"/>
        <v>0</v>
      </c>
    </row>
    <row r="91" spans="1:32" ht="46.95" customHeight="1" x14ac:dyDescent="0.3">
      <c r="A91" s="26" t="s">
        <v>320</v>
      </c>
      <c r="B91" s="17" t="s">
        <v>236</v>
      </c>
      <c r="C91" s="22" t="s">
        <v>28</v>
      </c>
      <c r="D91" s="39">
        <v>2538.4</v>
      </c>
      <c r="E91" s="39">
        <v>21.81</v>
      </c>
      <c r="F91" s="38">
        <f t="shared" si="60"/>
        <v>55362.5</v>
      </c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33"/>
      <c r="R91" s="33"/>
      <c r="S91" s="33"/>
      <c r="T91" s="33"/>
      <c r="U91" s="33"/>
      <c r="V91" s="33"/>
      <c r="W91" s="33">
        <f>$F$91/2</f>
        <v>27681.25</v>
      </c>
      <c r="X91" s="33">
        <f>$F$91/2</f>
        <v>27681.25</v>
      </c>
      <c r="Y91" s="33"/>
      <c r="Z91" s="96">
        <f t="shared" si="52"/>
        <v>55362.5</v>
      </c>
      <c r="AD91" s="59">
        <f t="shared" si="49"/>
        <v>55362.5</v>
      </c>
      <c r="AF91" s="59">
        <f t="shared" si="50"/>
        <v>0</v>
      </c>
    </row>
    <row r="92" spans="1:32" ht="46.95" customHeight="1" x14ac:dyDescent="0.3">
      <c r="A92" s="27" t="s">
        <v>321</v>
      </c>
      <c r="B92" s="18" t="s">
        <v>65</v>
      </c>
      <c r="C92" s="43"/>
      <c r="D92" s="37"/>
      <c r="E92" s="67"/>
      <c r="F92" s="37">
        <f t="shared" ref="F92:Y92" si="65">SUM(F93:F94)</f>
        <v>1319.52</v>
      </c>
      <c r="G92" s="82">
        <v>0</v>
      </c>
      <c r="H92" s="82">
        <v>0</v>
      </c>
      <c r="I92" s="82">
        <v>0</v>
      </c>
      <c r="J92" s="82">
        <v>0</v>
      </c>
      <c r="K92" s="82">
        <v>0</v>
      </c>
      <c r="L92" s="82">
        <v>0</v>
      </c>
      <c r="M92" s="82">
        <v>0</v>
      </c>
      <c r="N92" s="82">
        <v>0</v>
      </c>
      <c r="O92" s="82">
        <v>0</v>
      </c>
      <c r="P92" s="82">
        <f t="shared" si="65"/>
        <v>0</v>
      </c>
      <c r="Q92" s="32">
        <f t="shared" si="65"/>
        <v>0</v>
      </c>
      <c r="R92" s="32">
        <f t="shared" si="65"/>
        <v>0</v>
      </c>
      <c r="S92" s="32">
        <f t="shared" si="65"/>
        <v>0</v>
      </c>
      <c r="T92" s="32">
        <f t="shared" si="65"/>
        <v>0</v>
      </c>
      <c r="U92" s="32">
        <f t="shared" si="65"/>
        <v>0</v>
      </c>
      <c r="V92" s="32">
        <f t="shared" si="65"/>
        <v>1319.52</v>
      </c>
      <c r="W92" s="32">
        <f t="shared" si="65"/>
        <v>0</v>
      </c>
      <c r="X92" s="32">
        <f t="shared" si="65"/>
        <v>0</v>
      </c>
      <c r="Y92" s="32">
        <f t="shared" si="65"/>
        <v>0</v>
      </c>
      <c r="Z92" s="95">
        <f t="shared" si="52"/>
        <v>1319.52</v>
      </c>
      <c r="AD92" s="59">
        <f t="shared" si="49"/>
        <v>1319.52</v>
      </c>
      <c r="AF92" s="59">
        <f t="shared" si="50"/>
        <v>0</v>
      </c>
    </row>
    <row r="93" spans="1:32" ht="46.95" customHeight="1" x14ac:dyDescent="0.3">
      <c r="A93" s="26" t="s">
        <v>322</v>
      </c>
      <c r="B93" s="17" t="s">
        <v>66</v>
      </c>
      <c r="C93" s="22" t="s">
        <v>32</v>
      </c>
      <c r="D93" s="38">
        <v>169.17</v>
      </c>
      <c r="E93" s="39">
        <v>0.31</v>
      </c>
      <c r="F93" s="38">
        <f t="shared" si="60"/>
        <v>52.44</v>
      </c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33"/>
      <c r="R93" s="33"/>
      <c r="S93" s="33"/>
      <c r="T93" s="33"/>
      <c r="U93" s="33"/>
      <c r="V93" s="33">
        <f>$F$93</f>
        <v>52.44</v>
      </c>
      <c r="W93" s="33"/>
      <c r="X93" s="33"/>
      <c r="Y93" s="33"/>
      <c r="Z93" s="96">
        <f t="shared" si="52"/>
        <v>52.44</v>
      </c>
      <c r="AD93" s="59">
        <f t="shared" si="49"/>
        <v>52.44</v>
      </c>
      <c r="AF93" s="59">
        <f t="shared" si="50"/>
        <v>0</v>
      </c>
    </row>
    <row r="94" spans="1:32" ht="46.95" customHeight="1" x14ac:dyDescent="0.3">
      <c r="A94" s="26" t="s">
        <v>323</v>
      </c>
      <c r="B94" s="17" t="s">
        <v>281</v>
      </c>
      <c r="C94" s="22" t="s">
        <v>32</v>
      </c>
      <c r="D94" s="38">
        <v>169.17</v>
      </c>
      <c r="E94" s="39">
        <v>7.49</v>
      </c>
      <c r="F94" s="38">
        <f t="shared" si="60"/>
        <v>1267.08</v>
      </c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33"/>
      <c r="R94" s="33"/>
      <c r="S94" s="33"/>
      <c r="T94" s="33"/>
      <c r="U94" s="33"/>
      <c r="V94" s="33">
        <f>$F$94</f>
        <v>1267.08</v>
      </c>
      <c r="W94" s="33"/>
      <c r="X94" s="33"/>
      <c r="Y94" s="33"/>
      <c r="Z94" s="96">
        <f t="shared" si="52"/>
        <v>1267.08</v>
      </c>
      <c r="AD94" s="59">
        <f t="shared" si="49"/>
        <v>1267.08</v>
      </c>
      <c r="AF94" s="59">
        <f t="shared" si="50"/>
        <v>0</v>
      </c>
    </row>
    <row r="95" spans="1:32" s="14" customFormat="1" ht="46.95" customHeight="1" x14ac:dyDescent="0.3">
      <c r="A95" s="28" t="s">
        <v>324</v>
      </c>
      <c r="B95" s="19" t="s">
        <v>90</v>
      </c>
      <c r="C95" s="42"/>
      <c r="D95" s="36"/>
      <c r="E95" s="39"/>
      <c r="F95" s="46">
        <v>2176817.23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f t="shared" ref="P95:Y95" si="66">P96+P98+P104+P109+P111</f>
        <v>0</v>
      </c>
      <c r="Q95" s="60">
        <f t="shared" si="66"/>
        <v>25518.202399999998</v>
      </c>
      <c r="R95" s="60">
        <f t="shared" si="66"/>
        <v>229663.8216</v>
      </c>
      <c r="S95" s="60">
        <f t="shared" si="66"/>
        <v>510364.04800000007</v>
      </c>
      <c r="T95" s="60">
        <f t="shared" si="66"/>
        <v>510364.04800000007</v>
      </c>
      <c r="U95" s="60">
        <f t="shared" si="66"/>
        <v>0</v>
      </c>
      <c r="V95" s="60">
        <f t="shared" si="66"/>
        <v>1751.44</v>
      </c>
      <c r="W95" s="60">
        <f t="shared" si="66"/>
        <v>1617.54</v>
      </c>
      <c r="X95" s="60">
        <f t="shared" si="66"/>
        <v>0</v>
      </c>
      <c r="Y95" s="60">
        <f t="shared" si="66"/>
        <v>0</v>
      </c>
      <c r="Z95" s="94">
        <v>1279279.0999999999</v>
      </c>
      <c r="AA95" s="13"/>
      <c r="AD95" s="59">
        <f t="shared" si="49"/>
        <v>1279279.1000000001</v>
      </c>
      <c r="AF95" s="59">
        <f t="shared" si="50"/>
        <v>897538.12999999989</v>
      </c>
    </row>
    <row r="96" spans="1:32" ht="46.95" customHeight="1" x14ac:dyDescent="0.3">
      <c r="A96" s="27" t="s">
        <v>325</v>
      </c>
      <c r="B96" s="18" t="s">
        <v>34</v>
      </c>
      <c r="C96" s="43"/>
      <c r="D96" s="37"/>
      <c r="E96" s="67"/>
      <c r="F96" s="37">
        <v>28565.8</v>
      </c>
      <c r="G96" s="82">
        <v>0</v>
      </c>
      <c r="H96" s="82">
        <v>0</v>
      </c>
      <c r="I96" s="82">
        <v>0</v>
      </c>
      <c r="J96" s="82">
        <v>0</v>
      </c>
      <c r="K96" s="82">
        <v>0</v>
      </c>
      <c r="L96" s="82">
        <v>0</v>
      </c>
      <c r="M96" s="82">
        <v>0</v>
      </c>
      <c r="N96" s="82">
        <v>0</v>
      </c>
      <c r="O96" s="82">
        <v>0</v>
      </c>
      <c r="P96" s="82">
        <f t="shared" ref="P96:Y96" si="67">SUM(P97)</f>
        <v>0</v>
      </c>
      <c r="Q96" s="32">
        <f t="shared" si="67"/>
        <v>582.80780000000004</v>
      </c>
      <c r="R96" s="32">
        <f t="shared" si="67"/>
        <v>5245.2701999999999</v>
      </c>
      <c r="S96" s="32">
        <f t="shared" si="67"/>
        <v>11656.156000000001</v>
      </c>
      <c r="T96" s="32">
        <f t="shared" si="67"/>
        <v>11656.156000000001</v>
      </c>
      <c r="U96" s="32">
        <f t="shared" si="67"/>
        <v>0</v>
      </c>
      <c r="V96" s="32">
        <f t="shared" si="67"/>
        <v>0</v>
      </c>
      <c r="W96" s="32">
        <f t="shared" si="67"/>
        <v>0</v>
      </c>
      <c r="X96" s="32">
        <f t="shared" si="67"/>
        <v>0</v>
      </c>
      <c r="Y96" s="32">
        <f t="shared" si="67"/>
        <v>0</v>
      </c>
      <c r="Z96" s="95">
        <v>29140.39</v>
      </c>
      <c r="AD96" s="59">
        <f t="shared" si="49"/>
        <v>29140.39</v>
      </c>
      <c r="AF96" s="59">
        <f t="shared" si="50"/>
        <v>-574.59000000000015</v>
      </c>
    </row>
    <row r="97" spans="1:32" ht="46.95" customHeight="1" x14ac:dyDescent="0.3">
      <c r="A97" s="26" t="s">
        <v>326</v>
      </c>
      <c r="B97" s="17" t="s">
        <v>91</v>
      </c>
      <c r="C97" s="22" t="s">
        <v>32</v>
      </c>
      <c r="D97" s="38">
        <v>11517.94</v>
      </c>
      <c r="E97" s="39">
        <v>2.5299999999999998</v>
      </c>
      <c r="F97" s="38">
        <v>28565.8</v>
      </c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33">
        <f>Z97*0.02</f>
        <v>582.80780000000004</v>
      </c>
      <c r="R97" s="33">
        <f>Z97*0.18</f>
        <v>5245.2701999999999</v>
      </c>
      <c r="S97" s="33">
        <f>Z97*0.4</f>
        <v>11656.156000000001</v>
      </c>
      <c r="T97" s="33">
        <f>Z97*0.4</f>
        <v>11656.156000000001</v>
      </c>
      <c r="U97" s="33"/>
      <c r="V97" s="33"/>
      <c r="W97" s="33"/>
      <c r="X97" s="33"/>
      <c r="Y97" s="33"/>
      <c r="Z97" s="96">
        <v>29140.39</v>
      </c>
      <c r="AD97" s="59">
        <f t="shared" si="49"/>
        <v>29140.39</v>
      </c>
      <c r="AF97" s="59">
        <f t="shared" si="50"/>
        <v>-574.59000000000015</v>
      </c>
    </row>
    <row r="98" spans="1:32" ht="46.95" customHeight="1" x14ac:dyDescent="0.3">
      <c r="A98" s="27" t="s">
        <v>327</v>
      </c>
      <c r="B98" s="18" t="s">
        <v>72</v>
      </c>
      <c r="C98" s="43"/>
      <c r="D98" s="37"/>
      <c r="E98" s="67"/>
      <c r="F98" s="37">
        <v>479505.3</v>
      </c>
      <c r="G98" s="82">
        <v>0</v>
      </c>
      <c r="H98" s="82">
        <v>0</v>
      </c>
      <c r="I98" s="82">
        <v>0</v>
      </c>
      <c r="J98" s="82">
        <v>0</v>
      </c>
      <c r="K98" s="82">
        <v>0</v>
      </c>
      <c r="L98" s="82">
        <v>0</v>
      </c>
      <c r="M98" s="82">
        <v>0</v>
      </c>
      <c r="N98" s="82">
        <v>0</v>
      </c>
      <c r="O98" s="82">
        <v>0</v>
      </c>
      <c r="P98" s="82">
        <f t="shared" ref="P98:Y98" si="68">SUM(P99:P103)</f>
        <v>0</v>
      </c>
      <c r="Q98" s="32">
        <f t="shared" si="68"/>
        <v>4872.7991999999995</v>
      </c>
      <c r="R98" s="32">
        <f t="shared" si="68"/>
        <v>43855.192800000004</v>
      </c>
      <c r="S98" s="32">
        <f t="shared" si="68"/>
        <v>97455.984000000011</v>
      </c>
      <c r="T98" s="32">
        <f t="shared" si="68"/>
        <v>97455.984000000011</v>
      </c>
      <c r="U98" s="32">
        <f t="shared" si="68"/>
        <v>0</v>
      </c>
      <c r="V98" s="32">
        <f t="shared" si="68"/>
        <v>0</v>
      </c>
      <c r="W98" s="32">
        <f t="shared" si="68"/>
        <v>0</v>
      </c>
      <c r="X98" s="32">
        <f t="shared" si="68"/>
        <v>0</v>
      </c>
      <c r="Y98" s="32">
        <f t="shared" si="68"/>
        <v>0</v>
      </c>
      <c r="Z98" s="95">
        <v>243639.96000000002</v>
      </c>
      <c r="AD98" s="59">
        <f t="shared" si="49"/>
        <v>243639.96000000002</v>
      </c>
      <c r="AF98" s="59">
        <f t="shared" si="50"/>
        <v>235865.33999999997</v>
      </c>
    </row>
    <row r="99" spans="1:32" ht="46.95" customHeight="1" x14ac:dyDescent="0.3">
      <c r="A99" s="26" t="s">
        <v>328</v>
      </c>
      <c r="B99" s="17" t="s">
        <v>82</v>
      </c>
      <c r="C99" s="22" t="s">
        <v>47</v>
      </c>
      <c r="D99" s="38">
        <v>675.96</v>
      </c>
      <c r="E99" s="39">
        <v>61.87</v>
      </c>
      <c r="F99" s="38">
        <v>90114.89</v>
      </c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33">
        <f t="shared" ref="Q99:Q103" si="69">Z99*0.02</f>
        <v>836.43299999999999</v>
      </c>
      <c r="R99" s="33">
        <f t="shared" ref="R99:R103" si="70">Z99*0.18</f>
        <v>7527.8969999999999</v>
      </c>
      <c r="S99" s="33">
        <f t="shared" ref="S99:S103" si="71">Z99*0.4</f>
        <v>16728.66</v>
      </c>
      <c r="T99" s="33">
        <f t="shared" ref="T99:T103" si="72">Z99*0.4</f>
        <v>16728.66</v>
      </c>
      <c r="U99" s="33"/>
      <c r="V99" s="33"/>
      <c r="W99" s="33"/>
      <c r="X99" s="33"/>
      <c r="Y99" s="33"/>
      <c r="Z99" s="96">
        <v>41821.65</v>
      </c>
      <c r="AD99" s="59">
        <f t="shared" si="49"/>
        <v>41821.649999999994</v>
      </c>
      <c r="AF99" s="59">
        <f t="shared" si="50"/>
        <v>48293.240000000005</v>
      </c>
    </row>
    <row r="100" spans="1:32" ht="46.95" customHeight="1" x14ac:dyDescent="0.3">
      <c r="A100" s="26" t="s">
        <v>329</v>
      </c>
      <c r="B100" s="17" t="s">
        <v>92</v>
      </c>
      <c r="C100" s="22" t="s">
        <v>47</v>
      </c>
      <c r="D100" s="38">
        <v>1126.5999999999999</v>
      </c>
      <c r="E100" s="39">
        <v>61.87</v>
      </c>
      <c r="F100" s="38">
        <v>122935.07</v>
      </c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33">
        <f t="shared" si="69"/>
        <v>1394.0548000000001</v>
      </c>
      <c r="R100" s="33">
        <f t="shared" si="70"/>
        <v>12546.493200000001</v>
      </c>
      <c r="S100" s="33">
        <f t="shared" si="71"/>
        <v>27881.096000000005</v>
      </c>
      <c r="T100" s="33">
        <f t="shared" si="72"/>
        <v>27881.096000000005</v>
      </c>
      <c r="U100" s="33"/>
      <c r="V100" s="33"/>
      <c r="W100" s="33"/>
      <c r="X100" s="33"/>
      <c r="Y100" s="33"/>
      <c r="Z100" s="96">
        <v>69702.740000000005</v>
      </c>
      <c r="AD100" s="59">
        <f t="shared" si="49"/>
        <v>69702.74000000002</v>
      </c>
      <c r="AF100" s="59">
        <f t="shared" si="50"/>
        <v>53232.329999999987</v>
      </c>
    </row>
    <row r="101" spans="1:32" s="14" customFormat="1" ht="46.95" customHeight="1" x14ac:dyDescent="0.3">
      <c r="A101" s="26" t="s">
        <v>330</v>
      </c>
      <c r="B101" s="17" t="s">
        <v>93</v>
      </c>
      <c r="C101" s="22" t="s">
        <v>47</v>
      </c>
      <c r="D101" s="38">
        <v>844.94</v>
      </c>
      <c r="E101" s="39">
        <v>93.34</v>
      </c>
      <c r="F101" s="38">
        <v>185465.65</v>
      </c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33">
        <f t="shared" si="69"/>
        <v>1577.3340000000001</v>
      </c>
      <c r="R101" s="33">
        <f t="shared" si="70"/>
        <v>14196.005999999999</v>
      </c>
      <c r="S101" s="33">
        <f t="shared" si="71"/>
        <v>31546.68</v>
      </c>
      <c r="T101" s="33">
        <f t="shared" si="72"/>
        <v>31546.68</v>
      </c>
      <c r="U101" s="33"/>
      <c r="V101" s="33"/>
      <c r="W101" s="33"/>
      <c r="X101" s="33"/>
      <c r="Y101" s="33"/>
      <c r="Z101" s="96">
        <v>78866.7</v>
      </c>
      <c r="AA101" s="13"/>
      <c r="AD101" s="59">
        <f t="shared" si="49"/>
        <v>78866.700000000012</v>
      </c>
      <c r="AF101" s="59">
        <f t="shared" si="50"/>
        <v>106598.94999999998</v>
      </c>
    </row>
    <row r="102" spans="1:32" ht="46.95" customHeight="1" x14ac:dyDescent="0.3">
      <c r="A102" s="26" t="s">
        <v>331</v>
      </c>
      <c r="B102" s="17" t="s">
        <v>46</v>
      </c>
      <c r="C102" s="22" t="s">
        <v>47</v>
      </c>
      <c r="D102" s="38">
        <v>1053.3900000000001</v>
      </c>
      <c r="E102" s="39">
        <v>17.84</v>
      </c>
      <c r="F102" s="38">
        <v>28582.71</v>
      </c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33">
        <f t="shared" si="69"/>
        <v>375.84960000000001</v>
      </c>
      <c r="R102" s="33">
        <f t="shared" si="70"/>
        <v>3382.6463999999996</v>
      </c>
      <c r="S102" s="33">
        <f t="shared" si="71"/>
        <v>7516.9920000000002</v>
      </c>
      <c r="T102" s="33">
        <f t="shared" si="72"/>
        <v>7516.9920000000002</v>
      </c>
      <c r="U102" s="33"/>
      <c r="V102" s="33"/>
      <c r="W102" s="33"/>
      <c r="X102" s="33"/>
      <c r="Y102" s="33"/>
      <c r="Z102" s="96">
        <v>18792.48</v>
      </c>
      <c r="AD102" s="59">
        <f t="shared" si="49"/>
        <v>18792.48</v>
      </c>
      <c r="AF102" s="59">
        <f t="shared" si="50"/>
        <v>9790.23</v>
      </c>
    </row>
    <row r="103" spans="1:32" ht="46.95" customHeight="1" x14ac:dyDescent="0.3">
      <c r="A103" s="26" t="s">
        <v>332</v>
      </c>
      <c r="B103" s="17" t="s">
        <v>94</v>
      </c>
      <c r="C103" s="22" t="s">
        <v>47</v>
      </c>
      <c r="D103" s="38">
        <v>1053.3900000000001</v>
      </c>
      <c r="E103" s="39">
        <v>32.71</v>
      </c>
      <c r="F103" s="38">
        <v>52406.98</v>
      </c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33">
        <f t="shared" si="69"/>
        <v>689.12779999999998</v>
      </c>
      <c r="R103" s="33">
        <f t="shared" si="70"/>
        <v>6202.1502</v>
      </c>
      <c r="S103" s="33">
        <f t="shared" si="71"/>
        <v>13782.556</v>
      </c>
      <c r="T103" s="33">
        <f t="shared" si="72"/>
        <v>13782.556</v>
      </c>
      <c r="U103" s="33"/>
      <c r="V103" s="33"/>
      <c r="W103" s="33"/>
      <c r="X103" s="33"/>
      <c r="Y103" s="33"/>
      <c r="Z103" s="96">
        <v>34456.39</v>
      </c>
      <c r="AD103" s="59">
        <f t="shared" si="49"/>
        <v>34456.39</v>
      </c>
      <c r="AF103" s="59">
        <f t="shared" si="50"/>
        <v>17950.590000000004</v>
      </c>
    </row>
    <row r="104" spans="1:32" ht="46.95" customHeight="1" x14ac:dyDescent="0.3">
      <c r="A104" s="27" t="s">
        <v>333</v>
      </c>
      <c r="B104" s="18" t="s">
        <v>95</v>
      </c>
      <c r="C104" s="43"/>
      <c r="D104" s="37"/>
      <c r="E104" s="67"/>
      <c r="F104" s="37">
        <v>1633722.0299999998</v>
      </c>
      <c r="G104" s="82">
        <v>0</v>
      </c>
      <c r="H104" s="82">
        <v>0</v>
      </c>
      <c r="I104" s="82">
        <v>0</v>
      </c>
      <c r="J104" s="82">
        <v>0</v>
      </c>
      <c r="K104" s="82">
        <v>0</v>
      </c>
      <c r="L104" s="82">
        <v>0</v>
      </c>
      <c r="M104" s="82">
        <v>0</v>
      </c>
      <c r="N104" s="82">
        <v>0</v>
      </c>
      <c r="O104" s="82">
        <v>0</v>
      </c>
      <c r="P104" s="82">
        <f t="shared" ref="P104:Y104" si="73">SUM(P105:P108)</f>
        <v>0</v>
      </c>
      <c r="Q104" s="32">
        <f t="shared" si="73"/>
        <v>19415.4028</v>
      </c>
      <c r="R104" s="32">
        <f t="shared" si="73"/>
        <v>174738.62520000001</v>
      </c>
      <c r="S104" s="32">
        <f t="shared" si="73"/>
        <v>388308.05600000004</v>
      </c>
      <c r="T104" s="32">
        <f t="shared" si="73"/>
        <v>388308.05600000004</v>
      </c>
      <c r="U104" s="32">
        <f t="shared" si="73"/>
        <v>0</v>
      </c>
      <c r="V104" s="32">
        <f t="shared" si="73"/>
        <v>0</v>
      </c>
      <c r="W104" s="32">
        <f t="shared" si="73"/>
        <v>0</v>
      </c>
      <c r="X104" s="32">
        <f t="shared" si="73"/>
        <v>0</v>
      </c>
      <c r="Y104" s="32">
        <f t="shared" si="73"/>
        <v>0</v>
      </c>
      <c r="Z104" s="95">
        <v>970770.14</v>
      </c>
      <c r="AD104" s="59">
        <f t="shared" si="49"/>
        <v>970770.14000000013</v>
      </c>
      <c r="AF104" s="59">
        <f t="shared" si="50"/>
        <v>662951.88999999966</v>
      </c>
    </row>
    <row r="105" spans="1:32" ht="46.95" customHeight="1" x14ac:dyDescent="0.3">
      <c r="A105" s="26" t="s">
        <v>334</v>
      </c>
      <c r="B105" s="17" t="s">
        <v>96</v>
      </c>
      <c r="C105" s="22" t="s">
        <v>28</v>
      </c>
      <c r="D105" s="38">
        <v>9012.75</v>
      </c>
      <c r="E105" s="39">
        <v>67.94</v>
      </c>
      <c r="F105" s="38">
        <v>935860.59</v>
      </c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33">
        <f t="shared" ref="Q105:Q108" si="74">Z105*0.02</f>
        <v>12246.524799999999</v>
      </c>
      <c r="R105" s="33">
        <f t="shared" ref="R105:R108" si="75">Z105*0.18</f>
        <v>110218.72319999999</v>
      </c>
      <c r="S105" s="33">
        <f t="shared" ref="S105:S108" si="76">Z105*0.4</f>
        <v>244930.49600000001</v>
      </c>
      <c r="T105" s="33">
        <f t="shared" ref="T105:T108" si="77">Z105*0.4</f>
        <v>244930.49600000001</v>
      </c>
      <c r="U105" s="33"/>
      <c r="V105" s="33"/>
      <c r="W105" s="33"/>
      <c r="X105" s="33"/>
      <c r="Y105" s="33"/>
      <c r="Z105" s="96">
        <v>612326.24</v>
      </c>
      <c r="AD105" s="59">
        <f t="shared" si="49"/>
        <v>612326.24</v>
      </c>
      <c r="AF105" s="59">
        <f t="shared" si="50"/>
        <v>323534.34999999998</v>
      </c>
    </row>
    <row r="106" spans="1:32" s="14" customFormat="1" ht="46.95" customHeight="1" x14ac:dyDescent="0.3">
      <c r="A106" s="26" t="s">
        <v>335</v>
      </c>
      <c r="B106" s="17" t="s">
        <v>97</v>
      </c>
      <c r="C106" s="22" t="s">
        <v>47</v>
      </c>
      <c r="D106" s="38">
        <v>675.96</v>
      </c>
      <c r="E106" s="39">
        <v>282.33</v>
      </c>
      <c r="F106" s="38">
        <v>411219.29</v>
      </c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33">
        <f t="shared" si="74"/>
        <v>3816.8758000000003</v>
      </c>
      <c r="R106" s="33">
        <f t="shared" si="75"/>
        <v>34351.8822</v>
      </c>
      <c r="S106" s="33">
        <f t="shared" si="76"/>
        <v>76337.516000000003</v>
      </c>
      <c r="T106" s="33">
        <f t="shared" si="77"/>
        <v>76337.516000000003</v>
      </c>
      <c r="U106" s="33"/>
      <c r="V106" s="33"/>
      <c r="W106" s="33"/>
      <c r="X106" s="33"/>
      <c r="Y106" s="33"/>
      <c r="Z106" s="96">
        <v>190843.79</v>
      </c>
      <c r="AA106" s="13"/>
      <c r="AD106" s="59">
        <f t="shared" si="49"/>
        <v>190843.79</v>
      </c>
      <c r="AF106" s="59">
        <f t="shared" si="50"/>
        <v>220375.49999999997</v>
      </c>
    </row>
    <row r="107" spans="1:32" ht="46.95" customHeight="1" x14ac:dyDescent="0.3">
      <c r="A107" s="26" t="s">
        <v>336</v>
      </c>
      <c r="B107" s="17" t="s">
        <v>98</v>
      </c>
      <c r="C107" s="22" t="s">
        <v>86</v>
      </c>
      <c r="D107" s="38">
        <v>23825.599999999999</v>
      </c>
      <c r="E107" s="39">
        <v>6.88</v>
      </c>
      <c r="F107" s="38">
        <v>283034.74</v>
      </c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33">
        <f t="shared" si="74"/>
        <v>3278.4026000000003</v>
      </c>
      <c r="R107" s="33">
        <f t="shared" si="75"/>
        <v>29505.6234</v>
      </c>
      <c r="S107" s="33">
        <f t="shared" si="76"/>
        <v>65568.052000000011</v>
      </c>
      <c r="T107" s="33">
        <f t="shared" si="77"/>
        <v>65568.052000000011</v>
      </c>
      <c r="U107" s="33"/>
      <c r="V107" s="33"/>
      <c r="W107" s="33"/>
      <c r="X107" s="33"/>
      <c r="Y107" s="33"/>
      <c r="Z107" s="96">
        <v>163920.13</v>
      </c>
      <c r="AD107" s="59">
        <f t="shared" si="49"/>
        <v>163920.13</v>
      </c>
      <c r="AF107" s="59">
        <f t="shared" si="50"/>
        <v>119114.60999999999</v>
      </c>
    </row>
    <row r="108" spans="1:32" s="14" customFormat="1" ht="46.95" customHeight="1" x14ac:dyDescent="0.3">
      <c r="A108" s="26" t="s">
        <v>337</v>
      </c>
      <c r="B108" s="17" t="s">
        <v>99</v>
      </c>
      <c r="C108" s="22" t="s">
        <v>28</v>
      </c>
      <c r="D108" s="38">
        <v>1727.69</v>
      </c>
      <c r="E108" s="39">
        <v>2.13</v>
      </c>
      <c r="F108" s="38">
        <v>3607.41</v>
      </c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33">
        <f t="shared" si="74"/>
        <v>73.599599999999995</v>
      </c>
      <c r="R108" s="33">
        <f t="shared" si="75"/>
        <v>662.39639999999997</v>
      </c>
      <c r="S108" s="33">
        <f t="shared" si="76"/>
        <v>1471.9920000000002</v>
      </c>
      <c r="T108" s="33">
        <f t="shared" si="77"/>
        <v>1471.9920000000002</v>
      </c>
      <c r="U108" s="33"/>
      <c r="V108" s="33"/>
      <c r="W108" s="33"/>
      <c r="X108" s="33"/>
      <c r="Y108" s="33"/>
      <c r="Z108" s="96">
        <v>3679.98</v>
      </c>
      <c r="AA108" s="13"/>
      <c r="AD108" s="59">
        <f t="shared" si="49"/>
        <v>3679.9800000000005</v>
      </c>
      <c r="AF108" s="59">
        <f t="shared" si="50"/>
        <v>-72.570000000000618</v>
      </c>
    </row>
    <row r="109" spans="1:32" ht="46.95" customHeight="1" x14ac:dyDescent="0.3">
      <c r="A109" s="27" t="s">
        <v>338</v>
      </c>
      <c r="B109" s="18" t="s">
        <v>88</v>
      </c>
      <c r="C109" s="43"/>
      <c r="D109" s="37"/>
      <c r="E109" s="67"/>
      <c r="F109" s="37">
        <v>31721.5</v>
      </c>
      <c r="G109" s="82">
        <v>0</v>
      </c>
      <c r="H109" s="82">
        <v>0</v>
      </c>
      <c r="I109" s="82">
        <v>0</v>
      </c>
      <c r="J109" s="82">
        <v>0</v>
      </c>
      <c r="K109" s="82">
        <v>0</v>
      </c>
      <c r="L109" s="82">
        <v>0</v>
      </c>
      <c r="M109" s="82">
        <v>0</v>
      </c>
      <c r="N109" s="82">
        <v>0</v>
      </c>
      <c r="O109" s="82">
        <v>0</v>
      </c>
      <c r="P109" s="82">
        <f t="shared" ref="P109:Y109" si="78">SUM(P110)</f>
        <v>0</v>
      </c>
      <c r="Q109" s="32">
        <f t="shared" si="78"/>
        <v>647.19260000000008</v>
      </c>
      <c r="R109" s="32">
        <f t="shared" si="78"/>
        <v>5824.7334000000001</v>
      </c>
      <c r="S109" s="32">
        <f t="shared" si="78"/>
        <v>12943.852000000001</v>
      </c>
      <c r="T109" s="32">
        <f t="shared" si="78"/>
        <v>12943.852000000001</v>
      </c>
      <c r="U109" s="32">
        <f t="shared" si="78"/>
        <v>0</v>
      </c>
      <c r="V109" s="32">
        <f t="shared" si="78"/>
        <v>0</v>
      </c>
      <c r="W109" s="32">
        <f t="shared" si="78"/>
        <v>0</v>
      </c>
      <c r="X109" s="32">
        <f t="shared" si="78"/>
        <v>0</v>
      </c>
      <c r="Y109" s="32">
        <f t="shared" si="78"/>
        <v>0</v>
      </c>
      <c r="Z109" s="95">
        <v>32359.63</v>
      </c>
      <c r="AD109" s="59">
        <f t="shared" si="49"/>
        <v>32359.630000000005</v>
      </c>
      <c r="AF109" s="59">
        <f t="shared" si="50"/>
        <v>-638.13000000000466</v>
      </c>
    </row>
    <row r="110" spans="1:32" ht="46.95" customHeight="1" x14ac:dyDescent="0.3">
      <c r="A110" s="26" t="s">
        <v>339</v>
      </c>
      <c r="B110" s="17" t="s">
        <v>62</v>
      </c>
      <c r="C110" s="22" t="s">
        <v>28</v>
      </c>
      <c r="D110" s="38">
        <v>1727.69</v>
      </c>
      <c r="E110" s="39">
        <v>18.73</v>
      </c>
      <c r="F110" s="38">
        <v>31721.5</v>
      </c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33">
        <f>Z110*0.02</f>
        <v>647.19260000000008</v>
      </c>
      <c r="R110" s="33">
        <f>Z110*0.18</f>
        <v>5824.7334000000001</v>
      </c>
      <c r="S110" s="33">
        <f>Z110*0.4</f>
        <v>12943.852000000001</v>
      </c>
      <c r="T110" s="33">
        <f>Z110*0.4</f>
        <v>12943.852000000001</v>
      </c>
      <c r="U110" s="33"/>
      <c r="V110" s="33"/>
      <c r="W110" s="33"/>
      <c r="X110" s="33"/>
      <c r="Y110" s="33"/>
      <c r="Z110" s="96">
        <v>32359.63</v>
      </c>
      <c r="AD110" s="59">
        <f t="shared" si="49"/>
        <v>32359.630000000005</v>
      </c>
      <c r="AF110" s="59">
        <f t="shared" si="50"/>
        <v>-638.13000000000466</v>
      </c>
    </row>
    <row r="111" spans="1:32" ht="46.95" customHeight="1" x14ac:dyDescent="0.3">
      <c r="A111" s="27" t="s">
        <v>340</v>
      </c>
      <c r="B111" s="18" t="s">
        <v>65</v>
      </c>
      <c r="C111" s="43"/>
      <c r="D111" s="37"/>
      <c r="E111" s="67"/>
      <c r="F111" s="37">
        <v>3302.6000000000004</v>
      </c>
      <c r="G111" s="82">
        <v>0</v>
      </c>
      <c r="H111" s="82">
        <v>0</v>
      </c>
      <c r="I111" s="82">
        <v>0</v>
      </c>
      <c r="J111" s="82">
        <v>0</v>
      </c>
      <c r="K111" s="82">
        <v>0</v>
      </c>
      <c r="L111" s="82">
        <v>0</v>
      </c>
      <c r="M111" s="82">
        <v>0</v>
      </c>
      <c r="N111" s="82">
        <v>0</v>
      </c>
      <c r="O111" s="82">
        <v>0</v>
      </c>
      <c r="P111" s="82">
        <f t="shared" ref="P111:Y111" si="79">SUM(P112:P113)</f>
        <v>0</v>
      </c>
      <c r="Q111" s="32">
        <f t="shared" si="79"/>
        <v>0</v>
      </c>
      <c r="R111" s="32">
        <f t="shared" si="79"/>
        <v>0</v>
      </c>
      <c r="S111" s="32">
        <f t="shared" si="79"/>
        <v>0</v>
      </c>
      <c r="T111" s="32">
        <f t="shared" si="79"/>
        <v>0</v>
      </c>
      <c r="U111" s="32">
        <f t="shared" si="79"/>
        <v>0</v>
      </c>
      <c r="V111" s="32">
        <f t="shared" si="79"/>
        <v>1751.44</v>
      </c>
      <c r="W111" s="32">
        <f t="shared" si="79"/>
        <v>1617.54</v>
      </c>
      <c r="X111" s="32">
        <f t="shared" si="79"/>
        <v>0</v>
      </c>
      <c r="Y111" s="32">
        <f t="shared" si="79"/>
        <v>0</v>
      </c>
      <c r="Z111" s="95">
        <v>3368.98</v>
      </c>
      <c r="AD111" s="59">
        <f t="shared" si="49"/>
        <v>3368.98</v>
      </c>
      <c r="AF111" s="59">
        <f t="shared" si="50"/>
        <v>-66.379999999999654</v>
      </c>
    </row>
    <row r="112" spans="1:32" s="14" customFormat="1" ht="46.95" customHeight="1" x14ac:dyDescent="0.3">
      <c r="A112" s="26" t="s">
        <v>341</v>
      </c>
      <c r="B112" s="17" t="s">
        <v>66</v>
      </c>
      <c r="C112" s="22" t="s">
        <v>32</v>
      </c>
      <c r="D112" s="38">
        <v>431.92</v>
      </c>
      <c r="E112" s="39">
        <v>0.31</v>
      </c>
      <c r="F112" s="38">
        <v>131.26</v>
      </c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33"/>
      <c r="R112" s="33"/>
      <c r="S112" s="33"/>
      <c r="T112" s="33"/>
      <c r="U112" s="33"/>
      <c r="V112" s="33">
        <f>$Z$112</f>
        <v>133.9</v>
      </c>
      <c r="W112" s="33"/>
      <c r="X112" s="33"/>
      <c r="Y112" s="33"/>
      <c r="Z112" s="96">
        <v>133.9</v>
      </c>
      <c r="AA112" s="13"/>
      <c r="AD112" s="59">
        <f t="shared" si="49"/>
        <v>133.9</v>
      </c>
      <c r="AF112" s="59">
        <f t="shared" si="50"/>
        <v>-2.6400000000000148</v>
      </c>
    </row>
    <row r="113" spans="1:32" s="14" customFormat="1" ht="46.95" customHeight="1" x14ac:dyDescent="0.3">
      <c r="A113" s="26" t="s">
        <v>342</v>
      </c>
      <c r="B113" s="17" t="s">
        <v>281</v>
      </c>
      <c r="C113" s="22" t="s">
        <v>32</v>
      </c>
      <c r="D113" s="38">
        <v>431.92</v>
      </c>
      <c r="E113" s="39">
        <v>7.49</v>
      </c>
      <c r="F113" s="38">
        <v>3171.34</v>
      </c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33"/>
      <c r="R113" s="33"/>
      <c r="S113" s="33"/>
      <c r="T113" s="33"/>
      <c r="U113" s="33"/>
      <c r="V113" s="33">
        <f>$Z$113/2</f>
        <v>1617.54</v>
      </c>
      <c r="W113" s="33">
        <f>$Z$113/2</f>
        <v>1617.54</v>
      </c>
      <c r="X113" s="33"/>
      <c r="Y113" s="33"/>
      <c r="Z113" s="96">
        <v>3235.08</v>
      </c>
      <c r="AA113" s="13"/>
      <c r="AD113" s="59">
        <f t="shared" si="49"/>
        <v>3235.08</v>
      </c>
      <c r="AF113" s="59">
        <f t="shared" si="50"/>
        <v>-63.739999999999782</v>
      </c>
    </row>
    <row r="114" spans="1:32" ht="46.95" customHeight="1" x14ac:dyDescent="0.3">
      <c r="A114" s="28" t="s">
        <v>343</v>
      </c>
      <c r="B114" s="19" t="s">
        <v>100</v>
      </c>
      <c r="C114" s="42"/>
      <c r="D114" s="36"/>
      <c r="E114" s="39"/>
      <c r="F114" s="46">
        <f t="shared" ref="F114:Y114" si="80">F115+F117+F123</f>
        <v>1381603.2999999998</v>
      </c>
      <c r="G114" s="81">
        <v>0</v>
      </c>
      <c r="H114" s="81">
        <v>0</v>
      </c>
      <c r="I114" s="81">
        <v>0</v>
      </c>
      <c r="J114" s="81">
        <v>0</v>
      </c>
      <c r="K114" s="81">
        <v>0</v>
      </c>
      <c r="L114" s="81">
        <v>0</v>
      </c>
      <c r="M114" s="81">
        <v>0</v>
      </c>
      <c r="N114" s="81">
        <v>0</v>
      </c>
      <c r="O114" s="81">
        <v>0</v>
      </c>
      <c r="P114" s="81">
        <f t="shared" si="80"/>
        <v>0</v>
      </c>
      <c r="Q114" s="60">
        <f t="shared" si="80"/>
        <v>0</v>
      </c>
      <c r="R114" s="60">
        <f t="shared" si="80"/>
        <v>0</v>
      </c>
      <c r="S114" s="60">
        <f t="shared" si="80"/>
        <v>0</v>
      </c>
      <c r="T114" s="60">
        <f t="shared" si="80"/>
        <v>138160.33000000002</v>
      </c>
      <c r="U114" s="60">
        <f t="shared" si="80"/>
        <v>138160.33000000002</v>
      </c>
      <c r="V114" s="60">
        <f t="shared" si="80"/>
        <v>332361.11800000002</v>
      </c>
      <c r="W114" s="60">
        <f t="shared" si="80"/>
        <v>462630.92799999996</v>
      </c>
      <c r="X114" s="60">
        <f t="shared" si="80"/>
        <v>310290.59399999998</v>
      </c>
      <c r="Y114" s="60">
        <f t="shared" si="80"/>
        <v>0</v>
      </c>
      <c r="Z114" s="94">
        <f t="shared" si="52"/>
        <v>1381603.3</v>
      </c>
      <c r="AD114" s="59">
        <f t="shared" si="49"/>
        <v>1381603.3</v>
      </c>
      <c r="AF114" s="59">
        <f t="shared" si="50"/>
        <v>0</v>
      </c>
    </row>
    <row r="115" spans="1:32" ht="46.95" customHeight="1" x14ac:dyDescent="0.3">
      <c r="A115" s="27" t="s">
        <v>344</v>
      </c>
      <c r="B115" s="18" t="s">
        <v>34</v>
      </c>
      <c r="C115" s="43"/>
      <c r="D115" s="37"/>
      <c r="E115" s="67"/>
      <c r="F115" s="37">
        <f t="shared" ref="F115:Y115" si="81">SUM(F116)</f>
        <v>28496.98</v>
      </c>
      <c r="G115" s="82">
        <v>0</v>
      </c>
      <c r="H115" s="82">
        <v>0</v>
      </c>
      <c r="I115" s="82">
        <v>0</v>
      </c>
      <c r="J115" s="82">
        <v>0</v>
      </c>
      <c r="K115" s="82">
        <v>0</v>
      </c>
      <c r="L115" s="82">
        <v>0</v>
      </c>
      <c r="M115" s="82">
        <v>0</v>
      </c>
      <c r="N115" s="82">
        <v>0</v>
      </c>
      <c r="O115" s="82">
        <v>0</v>
      </c>
      <c r="P115" s="82">
        <f t="shared" si="81"/>
        <v>0</v>
      </c>
      <c r="Q115" s="32">
        <f t="shared" si="81"/>
        <v>0</v>
      </c>
      <c r="R115" s="32">
        <f t="shared" ref="R115:W115" si="82">SUM(R116)</f>
        <v>0</v>
      </c>
      <c r="S115" s="32">
        <f t="shared" si="82"/>
        <v>0</v>
      </c>
      <c r="T115" s="32">
        <f t="shared" si="82"/>
        <v>2849.6980000000003</v>
      </c>
      <c r="U115" s="32">
        <f t="shared" si="82"/>
        <v>2849.6980000000003</v>
      </c>
      <c r="V115" s="32">
        <f t="shared" si="82"/>
        <v>11398.792000000001</v>
      </c>
      <c r="W115" s="32">
        <f t="shared" si="82"/>
        <v>11398.792000000001</v>
      </c>
      <c r="X115" s="32">
        <f t="shared" si="81"/>
        <v>0</v>
      </c>
      <c r="Y115" s="32">
        <f t="shared" si="81"/>
        <v>0</v>
      </c>
      <c r="Z115" s="95">
        <f t="shared" si="52"/>
        <v>28496.980000000003</v>
      </c>
      <c r="AD115" s="59">
        <f t="shared" si="49"/>
        <v>28496.980000000003</v>
      </c>
      <c r="AF115" s="59">
        <f t="shared" si="50"/>
        <v>0</v>
      </c>
    </row>
    <row r="116" spans="1:32" ht="46.95" customHeight="1" x14ac:dyDescent="0.3">
      <c r="A116" s="26" t="s">
        <v>345</v>
      </c>
      <c r="B116" s="17" t="s">
        <v>101</v>
      </c>
      <c r="C116" s="22" t="s">
        <v>28</v>
      </c>
      <c r="D116" s="38">
        <v>10713.15</v>
      </c>
      <c r="E116" s="39">
        <v>2.66</v>
      </c>
      <c r="F116" s="38">
        <f>ROUND(D116*E116,2)</f>
        <v>28496.98</v>
      </c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33"/>
      <c r="R116" s="33"/>
      <c r="S116" s="33"/>
      <c r="T116" s="33">
        <f>$F$116*0.1</f>
        <v>2849.6980000000003</v>
      </c>
      <c r="U116" s="33">
        <f>$F$116*0.1</f>
        <v>2849.6980000000003</v>
      </c>
      <c r="V116" s="33">
        <f>$F$116*0.4</f>
        <v>11398.792000000001</v>
      </c>
      <c r="W116" s="33">
        <f>$F$116*0.4</f>
        <v>11398.792000000001</v>
      </c>
      <c r="X116" s="33"/>
      <c r="Y116" s="33"/>
      <c r="Z116" s="96">
        <f t="shared" si="52"/>
        <v>28496.980000000003</v>
      </c>
      <c r="AD116" s="59">
        <f t="shared" si="49"/>
        <v>28496.980000000003</v>
      </c>
      <c r="AF116" s="59">
        <f t="shared" si="50"/>
        <v>0</v>
      </c>
    </row>
    <row r="117" spans="1:32" ht="46.95" customHeight="1" x14ac:dyDescent="0.3">
      <c r="A117" s="27" t="s">
        <v>346</v>
      </c>
      <c r="B117" s="18" t="s">
        <v>72</v>
      </c>
      <c r="C117" s="43"/>
      <c r="D117" s="37"/>
      <c r="E117" s="67"/>
      <c r="F117" s="37">
        <f t="shared" ref="F117:Y117" si="83">SUM(F118:F122)</f>
        <v>527783.18999999994</v>
      </c>
      <c r="G117" s="82">
        <v>0</v>
      </c>
      <c r="H117" s="82">
        <v>0</v>
      </c>
      <c r="I117" s="82">
        <v>0</v>
      </c>
      <c r="J117" s="82">
        <v>0</v>
      </c>
      <c r="K117" s="82">
        <v>0</v>
      </c>
      <c r="L117" s="82">
        <v>0</v>
      </c>
      <c r="M117" s="82">
        <v>0</v>
      </c>
      <c r="N117" s="82">
        <v>0</v>
      </c>
      <c r="O117" s="82">
        <v>0</v>
      </c>
      <c r="P117" s="82">
        <f t="shared" si="83"/>
        <v>0</v>
      </c>
      <c r="Q117" s="32">
        <f t="shared" si="83"/>
        <v>0</v>
      </c>
      <c r="R117" s="32">
        <f t="shared" si="83"/>
        <v>0</v>
      </c>
      <c r="S117" s="32">
        <f t="shared" si="83"/>
        <v>0</v>
      </c>
      <c r="T117" s="32">
        <f t="shared" si="83"/>
        <v>52778.319000000003</v>
      </c>
      <c r="U117" s="32">
        <f t="shared" si="83"/>
        <v>52778.319000000003</v>
      </c>
      <c r="V117" s="32">
        <f t="shared" si="83"/>
        <v>155897.70000000001</v>
      </c>
      <c r="W117" s="32">
        <f t="shared" si="83"/>
        <v>183505.48799999998</v>
      </c>
      <c r="X117" s="32">
        <f t="shared" si="83"/>
        <v>82823.363999999987</v>
      </c>
      <c r="Y117" s="32">
        <f t="shared" si="83"/>
        <v>0</v>
      </c>
      <c r="Z117" s="95">
        <f t="shared" si="52"/>
        <v>527783.18999999994</v>
      </c>
      <c r="AD117" s="59">
        <f t="shared" si="49"/>
        <v>527783.18999999994</v>
      </c>
      <c r="AF117" s="59">
        <f t="shared" si="50"/>
        <v>0</v>
      </c>
    </row>
    <row r="118" spans="1:32" ht="46.95" customHeight="1" x14ac:dyDescent="0.3">
      <c r="A118" s="26" t="s">
        <v>347</v>
      </c>
      <c r="B118" s="17" t="s">
        <v>52</v>
      </c>
      <c r="C118" s="22" t="s">
        <v>47</v>
      </c>
      <c r="D118" s="38">
        <v>2142.63</v>
      </c>
      <c r="E118" s="39">
        <v>61.87</v>
      </c>
      <c r="F118" s="38">
        <f t="shared" ref="F118:F122" si="84">ROUND(D118*E118,2)</f>
        <v>132564.51999999999</v>
      </c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33"/>
      <c r="R118" s="33"/>
      <c r="S118" s="33"/>
      <c r="T118" s="33">
        <f>$F$118*0.1</f>
        <v>13256.451999999999</v>
      </c>
      <c r="U118" s="33">
        <f>$F$118*0.1</f>
        <v>13256.451999999999</v>
      </c>
      <c r="V118" s="33">
        <f>$F$118*0.4</f>
        <v>53025.807999999997</v>
      </c>
      <c r="W118" s="33">
        <f>$F$118*0.4</f>
        <v>53025.807999999997</v>
      </c>
      <c r="X118" s="33"/>
      <c r="Y118" s="33"/>
      <c r="Z118" s="96">
        <f t="shared" si="52"/>
        <v>132564.51999999999</v>
      </c>
      <c r="AD118" s="59">
        <f t="shared" si="49"/>
        <v>132564.51999999999</v>
      </c>
      <c r="AF118" s="59">
        <f t="shared" si="50"/>
        <v>0</v>
      </c>
    </row>
    <row r="119" spans="1:32" s="14" customFormat="1" ht="46.95" customHeight="1" x14ac:dyDescent="0.3">
      <c r="A119" s="26" t="s">
        <v>348</v>
      </c>
      <c r="B119" s="17" t="s">
        <v>46</v>
      </c>
      <c r="C119" s="22" t="s">
        <v>47</v>
      </c>
      <c r="D119" s="38">
        <v>2356.89</v>
      </c>
      <c r="E119" s="39">
        <v>17.84</v>
      </c>
      <c r="F119" s="38">
        <f t="shared" si="84"/>
        <v>42046.92</v>
      </c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33"/>
      <c r="R119" s="33"/>
      <c r="S119" s="33"/>
      <c r="T119" s="33">
        <f>$F$119*0.1</f>
        <v>4204.692</v>
      </c>
      <c r="U119" s="33">
        <f>$F$119*0.1</f>
        <v>4204.692</v>
      </c>
      <c r="V119" s="33">
        <f>$F$119*0.4</f>
        <v>16818.768</v>
      </c>
      <c r="W119" s="33">
        <f>$F$119*0.4</f>
        <v>16818.768</v>
      </c>
      <c r="X119" s="33"/>
      <c r="Y119" s="33"/>
      <c r="Z119" s="96">
        <f t="shared" si="52"/>
        <v>42046.92</v>
      </c>
      <c r="AA119" s="13"/>
      <c r="AD119" s="59">
        <f t="shared" si="49"/>
        <v>42046.92</v>
      </c>
      <c r="AF119" s="59">
        <f t="shared" si="50"/>
        <v>0</v>
      </c>
    </row>
    <row r="120" spans="1:32" ht="46.95" customHeight="1" x14ac:dyDescent="0.3">
      <c r="A120" s="26" t="s">
        <v>349</v>
      </c>
      <c r="B120" s="17" t="s">
        <v>55</v>
      </c>
      <c r="C120" s="22" t="s">
        <v>47</v>
      </c>
      <c r="D120" s="38">
        <v>2356.89</v>
      </c>
      <c r="E120" s="39">
        <v>32.71</v>
      </c>
      <c r="F120" s="38">
        <f t="shared" si="84"/>
        <v>77093.87</v>
      </c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33"/>
      <c r="R120" s="33"/>
      <c r="S120" s="33"/>
      <c r="T120" s="33">
        <f>$F$120*0.1</f>
        <v>7709.3869999999997</v>
      </c>
      <c r="U120" s="33">
        <f>$F$120*0.1</f>
        <v>7709.3869999999997</v>
      </c>
      <c r="V120" s="33">
        <f>$F$120*0.4</f>
        <v>30837.547999999999</v>
      </c>
      <c r="W120" s="33">
        <f>$F$120*0.4</f>
        <v>30837.547999999999</v>
      </c>
      <c r="X120" s="33"/>
      <c r="Y120" s="33"/>
      <c r="Z120" s="96">
        <f t="shared" si="52"/>
        <v>77093.87</v>
      </c>
      <c r="AD120" s="59">
        <f t="shared" si="49"/>
        <v>77093.87</v>
      </c>
      <c r="AF120" s="59">
        <f t="shared" si="50"/>
        <v>0</v>
      </c>
    </row>
    <row r="121" spans="1:32" ht="46.95" customHeight="1" x14ac:dyDescent="0.3">
      <c r="A121" s="26" t="s">
        <v>350</v>
      </c>
      <c r="B121" s="17" t="s">
        <v>102</v>
      </c>
      <c r="C121" s="22" t="s">
        <v>28</v>
      </c>
      <c r="D121" s="38">
        <v>10713.15</v>
      </c>
      <c r="E121" s="39">
        <v>20.46</v>
      </c>
      <c r="F121" s="38">
        <f t="shared" si="84"/>
        <v>219191.05</v>
      </c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33"/>
      <c r="R121" s="33"/>
      <c r="S121" s="33"/>
      <c r="T121" s="33">
        <f>$F$121*0.1</f>
        <v>21919.105</v>
      </c>
      <c r="U121" s="33">
        <f>$F$121*0.1</f>
        <v>21919.105</v>
      </c>
      <c r="V121" s="33">
        <f>$F$121*0.2</f>
        <v>43838.21</v>
      </c>
      <c r="W121" s="33">
        <f>$F$121*0.3</f>
        <v>65757.314999999988</v>
      </c>
      <c r="X121" s="33">
        <f>$F$121*0.3</f>
        <v>65757.314999999988</v>
      </c>
      <c r="Y121" s="33"/>
      <c r="Z121" s="96">
        <f t="shared" si="52"/>
        <v>219191.05</v>
      </c>
      <c r="AD121" s="59">
        <f t="shared" si="49"/>
        <v>219191.05</v>
      </c>
      <c r="AF121" s="59">
        <f t="shared" si="50"/>
        <v>0</v>
      </c>
    </row>
    <row r="122" spans="1:32" ht="46.95" customHeight="1" x14ac:dyDescent="0.3">
      <c r="A122" s="26" t="s">
        <v>351</v>
      </c>
      <c r="B122" s="17" t="s">
        <v>103</v>
      </c>
      <c r="C122" s="22" t="s">
        <v>28</v>
      </c>
      <c r="D122" s="38">
        <v>10713.15</v>
      </c>
      <c r="E122" s="39">
        <v>5.31</v>
      </c>
      <c r="F122" s="38">
        <f t="shared" si="84"/>
        <v>56886.83</v>
      </c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33"/>
      <c r="R122" s="33"/>
      <c r="S122" s="33"/>
      <c r="T122" s="33">
        <f>$F$122*0.1</f>
        <v>5688.6830000000009</v>
      </c>
      <c r="U122" s="33">
        <f>$F$122*0.1</f>
        <v>5688.6830000000009</v>
      </c>
      <c r="V122" s="33">
        <f>$F$122*0.2</f>
        <v>11377.366000000002</v>
      </c>
      <c r="W122" s="33">
        <f>$F$122*0.3</f>
        <v>17066.048999999999</v>
      </c>
      <c r="X122" s="33">
        <f>$F$122*0.3</f>
        <v>17066.048999999999</v>
      </c>
      <c r="Y122" s="33"/>
      <c r="Z122" s="96">
        <f t="shared" si="52"/>
        <v>56886.83</v>
      </c>
      <c r="AD122" s="59">
        <f t="shared" si="49"/>
        <v>56886.83</v>
      </c>
      <c r="AF122" s="59">
        <f t="shared" si="50"/>
        <v>0</v>
      </c>
    </row>
    <row r="123" spans="1:32" ht="46.95" customHeight="1" x14ac:dyDescent="0.3">
      <c r="A123" s="27" t="s">
        <v>352</v>
      </c>
      <c r="B123" s="18" t="s">
        <v>88</v>
      </c>
      <c r="C123" s="43"/>
      <c r="D123" s="37"/>
      <c r="E123" s="67"/>
      <c r="F123" s="37">
        <f t="shared" ref="F123:Y123" si="85">SUM(F124:F126)</f>
        <v>825323.13</v>
      </c>
      <c r="G123" s="82">
        <v>0</v>
      </c>
      <c r="H123" s="82">
        <v>0</v>
      </c>
      <c r="I123" s="82">
        <v>0</v>
      </c>
      <c r="J123" s="82">
        <v>0</v>
      </c>
      <c r="K123" s="82">
        <v>0</v>
      </c>
      <c r="L123" s="82">
        <v>0</v>
      </c>
      <c r="M123" s="82">
        <v>0</v>
      </c>
      <c r="N123" s="82">
        <v>0</v>
      </c>
      <c r="O123" s="82">
        <v>0</v>
      </c>
      <c r="P123" s="82">
        <f t="shared" ref="P123" si="86">SUM(P124:P126)</f>
        <v>0</v>
      </c>
      <c r="Q123" s="32">
        <f t="shared" ref="Q123" si="87">SUM(Q124:Q126)</f>
        <v>0</v>
      </c>
      <c r="R123" s="32">
        <f t="shared" ref="R123" si="88">SUM(R124:R126)</f>
        <v>0</v>
      </c>
      <c r="S123" s="32">
        <f t="shared" ref="S123" si="89">SUM(S124:S126)</f>
        <v>0</v>
      </c>
      <c r="T123" s="32">
        <f t="shared" ref="T123" si="90">SUM(T124:T126)</f>
        <v>82532.313000000009</v>
      </c>
      <c r="U123" s="32">
        <f t="shared" ref="U123" si="91">SUM(U124:U126)</f>
        <v>82532.313000000009</v>
      </c>
      <c r="V123" s="32">
        <f t="shared" ref="V123" si="92">SUM(V124:V126)</f>
        <v>165064.62600000002</v>
      </c>
      <c r="W123" s="32">
        <f t="shared" ref="W123" si="93">SUM(W124:W126)</f>
        <v>267726.64799999999</v>
      </c>
      <c r="X123" s="32">
        <f t="shared" si="85"/>
        <v>227467.22999999998</v>
      </c>
      <c r="Y123" s="32">
        <f t="shared" si="85"/>
        <v>0</v>
      </c>
      <c r="Z123" s="95">
        <f t="shared" si="52"/>
        <v>825323.13</v>
      </c>
      <c r="AD123" s="59">
        <f t="shared" si="49"/>
        <v>825323.13</v>
      </c>
      <c r="AF123" s="59">
        <f t="shared" si="50"/>
        <v>0</v>
      </c>
    </row>
    <row r="124" spans="1:32" s="14" customFormat="1" ht="46.95" customHeight="1" x14ac:dyDescent="0.3">
      <c r="A124" s="26" t="s">
        <v>353</v>
      </c>
      <c r="B124" s="17" t="s">
        <v>104</v>
      </c>
      <c r="C124" s="22" t="s">
        <v>28</v>
      </c>
      <c r="D124" s="38">
        <v>9948.15</v>
      </c>
      <c r="E124" s="39">
        <v>72.05</v>
      </c>
      <c r="F124" s="38">
        <f t="shared" ref="F124:F126" si="94">ROUND(D124*E124,2)</f>
        <v>716764.21</v>
      </c>
      <c r="G124" s="83"/>
      <c r="H124" s="83"/>
      <c r="I124" s="83"/>
      <c r="J124" s="83"/>
      <c r="K124" s="83"/>
      <c r="L124" s="83"/>
      <c r="M124" s="83"/>
      <c r="N124" s="83"/>
      <c r="O124" s="83"/>
      <c r="P124" s="101"/>
      <c r="Q124" s="70"/>
      <c r="R124" s="70"/>
      <c r="S124" s="33"/>
      <c r="T124" s="33">
        <f>$F$124*0.1</f>
        <v>71676.421000000002</v>
      </c>
      <c r="U124" s="33">
        <f>$F$124*0.1</f>
        <v>71676.421000000002</v>
      </c>
      <c r="V124" s="33">
        <f>$F$124*0.2</f>
        <v>143352.842</v>
      </c>
      <c r="W124" s="33">
        <f>$F$124*0.3</f>
        <v>215029.26299999998</v>
      </c>
      <c r="X124" s="33">
        <f>$F$124*0.3</f>
        <v>215029.26299999998</v>
      </c>
      <c r="Y124" s="33"/>
      <c r="Z124" s="96">
        <f t="shared" si="52"/>
        <v>716764.21</v>
      </c>
      <c r="AA124" s="13"/>
      <c r="AD124" s="59">
        <f t="shared" si="49"/>
        <v>716764.21</v>
      </c>
      <c r="AF124" s="59">
        <f t="shared" si="50"/>
        <v>0</v>
      </c>
    </row>
    <row r="125" spans="1:32" ht="46.95" customHeight="1" x14ac:dyDescent="0.3">
      <c r="A125" s="26" t="s">
        <v>354</v>
      </c>
      <c r="B125" s="17" t="s">
        <v>105</v>
      </c>
      <c r="C125" s="22" t="s">
        <v>28</v>
      </c>
      <c r="D125" s="38">
        <v>765.01</v>
      </c>
      <c r="E125" s="39">
        <v>87.71</v>
      </c>
      <c r="F125" s="38">
        <f t="shared" si="94"/>
        <v>67099.03</v>
      </c>
      <c r="G125" s="83"/>
      <c r="H125" s="83"/>
      <c r="I125" s="83"/>
      <c r="J125" s="83"/>
      <c r="K125" s="83"/>
      <c r="L125" s="83"/>
      <c r="M125" s="83"/>
      <c r="N125" s="83"/>
      <c r="O125" s="83"/>
      <c r="P125" s="100"/>
      <c r="Q125" s="2"/>
      <c r="R125" s="2"/>
      <c r="S125" s="33"/>
      <c r="T125" s="33">
        <f>$F$125*0.1</f>
        <v>6709.9030000000002</v>
      </c>
      <c r="U125" s="33">
        <f>$F$125*0.1</f>
        <v>6709.9030000000002</v>
      </c>
      <c r="V125" s="33">
        <f>$F$125*0.2</f>
        <v>13419.806</v>
      </c>
      <c r="W125" s="33">
        <f>$F$125*0.6</f>
        <v>40259.417999999998</v>
      </c>
      <c r="X125" s="33"/>
      <c r="Y125" s="33"/>
      <c r="Z125" s="96">
        <f t="shared" si="52"/>
        <v>67099.03</v>
      </c>
      <c r="AD125" s="59">
        <f t="shared" si="49"/>
        <v>67099.03</v>
      </c>
      <c r="AF125" s="59">
        <f t="shared" si="50"/>
        <v>0</v>
      </c>
    </row>
    <row r="126" spans="1:32" ht="46.95" customHeight="1" x14ac:dyDescent="0.3">
      <c r="A126" s="26" t="s">
        <v>355</v>
      </c>
      <c r="B126" s="17" t="s">
        <v>106</v>
      </c>
      <c r="C126" s="22" t="s">
        <v>28</v>
      </c>
      <c r="D126" s="38">
        <v>10713.15</v>
      </c>
      <c r="E126" s="39">
        <v>3.87</v>
      </c>
      <c r="F126" s="38">
        <f t="shared" si="94"/>
        <v>41459.89</v>
      </c>
      <c r="G126" s="83"/>
      <c r="H126" s="83"/>
      <c r="I126" s="83"/>
      <c r="J126" s="83"/>
      <c r="K126" s="83"/>
      <c r="L126" s="83"/>
      <c r="M126" s="83"/>
      <c r="N126" s="83"/>
      <c r="O126" s="83"/>
      <c r="P126" s="100"/>
      <c r="Q126" s="2"/>
      <c r="R126" s="2"/>
      <c r="S126" s="33"/>
      <c r="T126" s="33">
        <f>$F$126*0.1</f>
        <v>4145.9890000000005</v>
      </c>
      <c r="U126" s="33">
        <f>$F$126*0.1</f>
        <v>4145.9890000000005</v>
      </c>
      <c r="V126" s="33">
        <f>$F$126*0.2</f>
        <v>8291.978000000001</v>
      </c>
      <c r="W126" s="33">
        <f>$F$126*0.3</f>
        <v>12437.966999999999</v>
      </c>
      <c r="X126" s="33">
        <f>$F$126*0.3</f>
        <v>12437.966999999999</v>
      </c>
      <c r="Y126" s="33"/>
      <c r="Z126" s="96">
        <f t="shared" si="52"/>
        <v>41459.89</v>
      </c>
      <c r="AD126" s="59">
        <f t="shared" si="49"/>
        <v>41459.89</v>
      </c>
      <c r="AF126" s="59">
        <f t="shared" si="50"/>
        <v>0</v>
      </c>
    </row>
    <row r="127" spans="1:32" ht="46.95" customHeight="1" x14ac:dyDescent="0.3">
      <c r="A127" s="28" t="s">
        <v>356</v>
      </c>
      <c r="B127" s="19" t="s">
        <v>107</v>
      </c>
      <c r="C127" s="42"/>
      <c r="D127" s="36"/>
      <c r="E127" s="39"/>
      <c r="F127" s="46">
        <f t="shared" ref="F127:Y127" si="95">F128</f>
        <v>1183238.2699999998</v>
      </c>
      <c r="G127" s="81">
        <v>0</v>
      </c>
      <c r="H127" s="81">
        <v>0</v>
      </c>
      <c r="I127" s="81">
        <v>34913.32</v>
      </c>
      <c r="J127" s="81">
        <v>0</v>
      </c>
      <c r="K127" s="81">
        <v>0</v>
      </c>
      <c r="L127" s="81">
        <v>0</v>
      </c>
      <c r="M127" s="81">
        <v>0</v>
      </c>
      <c r="N127" s="81">
        <v>0</v>
      </c>
      <c r="O127" s="81">
        <v>0</v>
      </c>
      <c r="P127" s="81">
        <f t="shared" si="95"/>
        <v>0</v>
      </c>
      <c r="Q127" s="60">
        <f t="shared" si="95"/>
        <v>0</v>
      </c>
      <c r="R127" s="60">
        <f t="shared" si="95"/>
        <v>0</v>
      </c>
      <c r="S127" s="60">
        <f t="shared" si="95"/>
        <v>117815.28600000001</v>
      </c>
      <c r="T127" s="60">
        <f t="shared" si="95"/>
        <v>117815.28600000001</v>
      </c>
      <c r="U127" s="60">
        <f t="shared" si="95"/>
        <v>107357.216</v>
      </c>
      <c r="V127" s="60">
        <f t="shared" si="95"/>
        <v>107357.216</v>
      </c>
      <c r="W127" s="60">
        <f t="shared" si="95"/>
        <v>107357.216</v>
      </c>
      <c r="X127" s="60">
        <f t="shared" si="95"/>
        <v>295311.36499999999</v>
      </c>
      <c r="Y127" s="60">
        <f t="shared" si="95"/>
        <v>295311.36499999999</v>
      </c>
      <c r="Z127" s="94">
        <f t="shared" si="52"/>
        <v>1183238.27</v>
      </c>
      <c r="AD127" s="59">
        <f t="shared" si="49"/>
        <v>1183238.27</v>
      </c>
      <c r="AF127" s="59">
        <f t="shared" si="50"/>
        <v>0</v>
      </c>
    </row>
    <row r="128" spans="1:32" ht="46.95" customHeight="1" x14ac:dyDescent="0.3">
      <c r="A128" s="27" t="s">
        <v>357</v>
      </c>
      <c r="B128" s="18" t="s">
        <v>108</v>
      </c>
      <c r="C128" s="43"/>
      <c r="D128" s="37"/>
      <c r="E128" s="67"/>
      <c r="F128" s="37">
        <f t="shared" ref="F128:Y128" si="96">SUM(F129:F136)</f>
        <v>1183238.2699999998</v>
      </c>
      <c r="G128" s="82">
        <v>0</v>
      </c>
      <c r="H128" s="82">
        <v>0</v>
      </c>
      <c r="I128" s="82">
        <v>34913.32</v>
      </c>
      <c r="J128" s="82">
        <v>0</v>
      </c>
      <c r="K128" s="82">
        <v>0</v>
      </c>
      <c r="L128" s="82">
        <v>0</v>
      </c>
      <c r="M128" s="82">
        <v>0</v>
      </c>
      <c r="N128" s="82">
        <v>0</v>
      </c>
      <c r="O128" s="82">
        <v>0</v>
      </c>
      <c r="P128" s="82">
        <f t="shared" si="96"/>
        <v>0</v>
      </c>
      <c r="Q128" s="32">
        <f t="shared" si="96"/>
        <v>0</v>
      </c>
      <c r="R128" s="32">
        <f t="shared" si="96"/>
        <v>0</v>
      </c>
      <c r="S128" s="32">
        <f t="shared" si="96"/>
        <v>117815.28600000001</v>
      </c>
      <c r="T128" s="32">
        <f>SUM(T129:T136)</f>
        <v>117815.28600000001</v>
      </c>
      <c r="U128" s="32">
        <f>SUM(U129:U136)</f>
        <v>107357.216</v>
      </c>
      <c r="V128" s="32">
        <f>SUM(V129:V136)</f>
        <v>107357.216</v>
      </c>
      <c r="W128" s="32">
        <f t="shared" si="96"/>
        <v>107357.216</v>
      </c>
      <c r="X128" s="32">
        <f t="shared" si="96"/>
        <v>295311.36499999999</v>
      </c>
      <c r="Y128" s="32">
        <f t="shared" si="96"/>
        <v>295311.36499999999</v>
      </c>
      <c r="Z128" s="95">
        <f t="shared" si="52"/>
        <v>1183238.27</v>
      </c>
      <c r="AD128" s="59">
        <f t="shared" si="49"/>
        <v>1183238.27</v>
      </c>
      <c r="AF128" s="59">
        <f t="shared" si="50"/>
        <v>0</v>
      </c>
    </row>
    <row r="129" spans="1:32" ht="46.95" customHeight="1" x14ac:dyDescent="0.3">
      <c r="A129" s="26" t="s">
        <v>358</v>
      </c>
      <c r="B129" s="17" t="s">
        <v>52</v>
      </c>
      <c r="C129" s="22" t="s">
        <v>47</v>
      </c>
      <c r="D129" s="38">
        <v>552.1</v>
      </c>
      <c r="E129" s="39">
        <v>61.87</v>
      </c>
      <c r="F129" s="38">
        <f t="shared" ref="F129:F133" si="97">ROUND(D129*E129,2)</f>
        <v>34158.43</v>
      </c>
      <c r="G129" s="83"/>
      <c r="H129" s="83"/>
      <c r="I129" s="83">
        <v>21361.24</v>
      </c>
      <c r="J129" s="83"/>
      <c r="K129" s="83"/>
      <c r="L129" s="83"/>
      <c r="M129" s="83"/>
      <c r="N129" s="83"/>
      <c r="O129" s="83"/>
      <c r="P129" s="100"/>
      <c r="Q129" s="2"/>
      <c r="R129" s="2"/>
      <c r="S129" s="33">
        <f>(F129-SUM(G129:O129))/2</f>
        <v>6398.5949999999993</v>
      </c>
      <c r="T129" s="33">
        <f>S129</f>
        <v>6398.5949999999993</v>
      </c>
      <c r="U129" s="33"/>
      <c r="V129" s="33"/>
      <c r="W129" s="33"/>
      <c r="X129" s="33"/>
      <c r="Y129" s="33"/>
      <c r="Z129" s="96">
        <f t="shared" si="52"/>
        <v>34158.43</v>
      </c>
      <c r="AD129" s="59">
        <f t="shared" si="49"/>
        <v>34158.43</v>
      </c>
      <c r="AF129" s="59">
        <f t="shared" si="50"/>
        <v>0</v>
      </c>
    </row>
    <row r="130" spans="1:32" ht="46.95" customHeight="1" x14ac:dyDescent="0.3">
      <c r="A130" s="26" t="s">
        <v>359</v>
      </c>
      <c r="B130" s="17" t="s">
        <v>55</v>
      </c>
      <c r="C130" s="22" t="s">
        <v>47</v>
      </c>
      <c r="D130" s="38">
        <v>662.52</v>
      </c>
      <c r="E130" s="39">
        <v>32.71</v>
      </c>
      <c r="F130" s="38">
        <f t="shared" si="97"/>
        <v>21671.03</v>
      </c>
      <c r="G130" s="83"/>
      <c r="H130" s="83"/>
      <c r="I130" s="83">
        <v>13552.08</v>
      </c>
      <c r="J130" s="83"/>
      <c r="K130" s="83"/>
      <c r="L130" s="83"/>
      <c r="M130" s="83"/>
      <c r="N130" s="83"/>
      <c r="O130" s="83"/>
      <c r="P130" s="100"/>
      <c r="Q130" s="2"/>
      <c r="R130" s="2"/>
      <c r="S130" s="33">
        <f>(F130-SUM(G130:O130))/2</f>
        <v>4059.4749999999995</v>
      </c>
      <c r="T130" s="33">
        <f>S130</f>
        <v>4059.4749999999995</v>
      </c>
      <c r="U130" s="33"/>
      <c r="V130" s="33"/>
      <c r="W130" s="33"/>
      <c r="X130" s="33"/>
      <c r="Y130" s="33"/>
      <c r="Z130" s="96">
        <f t="shared" si="52"/>
        <v>21671.03</v>
      </c>
      <c r="AD130" s="59">
        <f t="shared" si="49"/>
        <v>21671.03</v>
      </c>
      <c r="AF130" s="59">
        <f t="shared" si="50"/>
        <v>0</v>
      </c>
    </row>
    <row r="131" spans="1:32" ht="46.95" customHeight="1" x14ac:dyDescent="0.3">
      <c r="A131" s="26" t="s">
        <v>360</v>
      </c>
      <c r="B131" s="17" t="s">
        <v>109</v>
      </c>
      <c r="C131" s="22" t="s">
        <v>28</v>
      </c>
      <c r="D131" s="38">
        <v>11042.08</v>
      </c>
      <c r="E131" s="39">
        <v>14.16</v>
      </c>
      <c r="F131" s="38">
        <f t="shared" si="97"/>
        <v>156355.85</v>
      </c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33"/>
      <c r="R131" s="33"/>
      <c r="S131" s="33"/>
      <c r="T131" s="33"/>
      <c r="U131" s="33"/>
      <c r="V131" s="33"/>
      <c r="W131" s="33"/>
      <c r="X131" s="33">
        <f t="shared" ref="X131:Y131" si="98">$F$131/2</f>
        <v>78177.925000000003</v>
      </c>
      <c r="Y131" s="33">
        <f t="shared" si="98"/>
        <v>78177.925000000003</v>
      </c>
      <c r="Z131" s="96">
        <f t="shared" si="52"/>
        <v>156355.85</v>
      </c>
      <c r="AD131" s="59">
        <f t="shared" si="49"/>
        <v>156355.85</v>
      </c>
      <c r="AF131" s="59">
        <f t="shared" si="50"/>
        <v>0</v>
      </c>
    </row>
    <row r="132" spans="1:32" s="14" customFormat="1" ht="46.95" customHeight="1" x14ac:dyDescent="0.3">
      <c r="A132" s="26" t="s">
        <v>361</v>
      </c>
      <c r="B132" s="17" t="s">
        <v>110</v>
      </c>
      <c r="C132" s="22" t="s">
        <v>28</v>
      </c>
      <c r="D132" s="38">
        <v>7683.7400000000025</v>
      </c>
      <c r="E132" s="39">
        <v>45.35</v>
      </c>
      <c r="F132" s="38">
        <f t="shared" si="97"/>
        <v>348457.61</v>
      </c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33"/>
      <c r="R132" s="33"/>
      <c r="S132" s="33">
        <f>$F$132/5</f>
        <v>69691.521999999997</v>
      </c>
      <c r="T132" s="33">
        <f t="shared" ref="T132:W132" si="99">$F$132/5</f>
        <v>69691.521999999997</v>
      </c>
      <c r="U132" s="33">
        <f t="shared" si="99"/>
        <v>69691.521999999997</v>
      </c>
      <c r="V132" s="33">
        <f t="shared" si="99"/>
        <v>69691.521999999997</v>
      </c>
      <c r="W132" s="33">
        <f t="shared" si="99"/>
        <v>69691.521999999997</v>
      </c>
      <c r="X132" s="33"/>
      <c r="Y132" s="33"/>
      <c r="Z132" s="96">
        <f t="shared" si="52"/>
        <v>348457.61</v>
      </c>
      <c r="AA132" s="13"/>
      <c r="AD132" s="59">
        <f t="shared" si="49"/>
        <v>348457.61</v>
      </c>
      <c r="AF132" s="59">
        <f t="shared" si="50"/>
        <v>0</v>
      </c>
    </row>
    <row r="133" spans="1:32" ht="46.95" customHeight="1" x14ac:dyDescent="0.3">
      <c r="A133" s="26" t="s">
        <v>362</v>
      </c>
      <c r="B133" s="17" t="s">
        <v>111</v>
      </c>
      <c r="C133" s="22" t="s">
        <v>28</v>
      </c>
      <c r="D133" s="38">
        <v>11042.08</v>
      </c>
      <c r="E133" s="39">
        <v>23.62</v>
      </c>
      <c r="F133" s="38">
        <f t="shared" si="97"/>
        <v>260813.93</v>
      </c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33"/>
      <c r="R133" s="33"/>
      <c r="S133" s="33"/>
      <c r="T133" s="33"/>
      <c r="U133" s="33"/>
      <c r="V133" s="33"/>
      <c r="W133" s="33"/>
      <c r="X133" s="33">
        <f>$F$133/2</f>
        <v>130406.965</v>
      </c>
      <c r="Y133" s="33">
        <f>$F$133/2</f>
        <v>130406.965</v>
      </c>
      <c r="Z133" s="96">
        <f t="shared" si="52"/>
        <v>260813.93</v>
      </c>
      <c r="AD133" s="59">
        <f t="shared" si="49"/>
        <v>260813.93</v>
      </c>
      <c r="AF133" s="59">
        <f t="shared" si="50"/>
        <v>0</v>
      </c>
    </row>
    <row r="134" spans="1:32" ht="46.95" customHeight="1" x14ac:dyDescent="0.3">
      <c r="A134" s="26" t="s">
        <v>363</v>
      </c>
      <c r="B134" s="17" t="s">
        <v>112</v>
      </c>
      <c r="C134" s="22" t="s">
        <v>37</v>
      </c>
      <c r="D134" s="38">
        <v>201</v>
      </c>
      <c r="E134" s="39">
        <v>862.95</v>
      </c>
      <c r="F134" s="38">
        <v>173452.95</v>
      </c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33"/>
      <c r="R134" s="33"/>
      <c r="S134" s="33"/>
      <c r="T134" s="33"/>
      <c r="U134" s="33"/>
      <c r="V134" s="33"/>
      <c r="W134" s="33"/>
      <c r="X134" s="33">
        <f>$F$134/2</f>
        <v>86726.475000000006</v>
      </c>
      <c r="Y134" s="33">
        <f>$F$134/2</f>
        <v>86726.475000000006</v>
      </c>
      <c r="Z134" s="96">
        <f t="shared" si="52"/>
        <v>173452.95</v>
      </c>
      <c r="AD134" s="59">
        <f t="shared" si="49"/>
        <v>173452.95</v>
      </c>
      <c r="AF134" s="59">
        <f t="shared" si="50"/>
        <v>0</v>
      </c>
    </row>
    <row r="135" spans="1:32" ht="46.95" customHeight="1" x14ac:dyDescent="0.3">
      <c r="A135" s="26" t="s">
        <v>364</v>
      </c>
      <c r="B135" s="17" t="s">
        <v>365</v>
      </c>
      <c r="C135" s="22" t="s">
        <v>28</v>
      </c>
      <c r="D135" s="38">
        <v>7683.74</v>
      </c>
      <c r="E135" s="39">
        <v>20.46</v>
      </c>
      <c r="F135" s="38">
        <f>ROUND(D135*E135,2)</f>
        <v>157209.32</v>
      </c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33"/>
      <c r="R135" s="33"/>
      <c r="S135" s="33">
        <f>$F$135/5</f>
        <v>31441.864000000001</v>
      </c>
      <c r="T135" s="33">
        <f t="shared" ref="T135:W135" si="100">$F$135/5</f>
        <v>31441.864000000001</v>
      </c>
      <c r="U135" s="33">
        <f t="shared" si="100"/>
        <v>31441.864000000001</v>
      </c>
      <c r="V135" s="33">
        <f t="shared" si="100"/>
        <v>31441.864000000001</v>
      </c>
      <c r="W135" s="33">
        <f t="shared" si="100"/>
        <v>31441.864000000001</v>
      </c>
      <c r="X135" s="33"/>
      <c r="Y135" s="33"/>
      <c r="Z135" s="96">
        <f t="shared" si="52"/>
        <v>157209.32</v>
      </c>
      <c r="AD135" s="59">
        <f t="shared" si="49"/>
        <v>157209.32</v>
      </c>
      <c r="AF135" s="59">
        <f t="shared" si="50"/>
        <v>0</v>
      </c>
    </row>
    <row r="136" spans="1:32" ht="46.95" customHeight="1" x14ac:dyDescent="0.3">
      <c r="A136" s="26" t="s">
        <v>366</v>
      </c>
      <c r="B136" s="17" t="s">
        <v>367</v>
      </c>
      <c r="C136" s="22" t="s">
        <v>28</v>
      </c>
      <c r="D136" s="38">
        <v>7683.74</v>
      </c>
      <c r="E136" s="39">
        <v>4.05</v>
      </c>
      <c r="F136" s="38">
        <f>ROUND(D136*E136,2)</f>
        <v>31119.15</v>
      </c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33"/>
      <c r="R136" s="33"/>
      <c r="S136" s="33">
        <f>$F$136/5</f>
        <v>6223.83</v>
      </c>
      <c r="T136" s="33">
        <f t="shared" ref="T136:W136" si="101">$F$136/5</f>
        <v>6223.83</v>
      </c>
      <c r="U136" s="33">
        <f t="shared" si="101"/>
        <v>6223.83</v>
      </c>
      <c r="V136" s="33">
        <f t="shared" si="101"/>
        <v>6223.83</v>
      </c>
      <c r="W136" s="33">
        <f t="shared" si="101"/>
        <v>6223.83</v>
      </c>
      <c r="X136" s="33"/>
      <c r="Y136" s="33"/>
      <c r="Z136" s="96">
        <f t="shared" si="52"/>
        <v>31119.15</v>
      </c>
      <c r="AD136" s="59">
        <f t="shared" ref="AD136:AD195" si="102">SUM(G136:Y136)</f>
        <v>31119.15</v>
      </c>
      <c r="AF136" s="59">
        <f t="shared" ref="AF136:AF195" si="103">F136-AD136</f>
        <v>0</v>
      </c>
    </row>
    <row r="137" spans="1:32" ht="46.95" customHeight="1" x14ac:dyDescent="0.3">
      <c r="A137" s="28" t="s">
        <v>368</v>
      </c>
      <c r="B137" s="19" t="s">
        <v>113</v>
      </c>
      <c r="C137" s="42"/>
      <c r="D137" s="36"/>
      <c r="E137" s="39"/>
      <c r="F137" s="46">
        <f t="shared" ref="F137:Y137" si="104">F138+F157</f>
        <v>7602791.0699999994</v>
      </c>
      <c r="G137" s="81">
        <v>0</v>
      </c>
      <c r="H137" s="81">
        <v>105346.48000000001</v>
      </c>
      <c r="I137" s="81">
        <v>1064951.1399999999</v>
      </c>
      <c r="J137" s="81">
        <v>180219.96000000002</v>
      </c>
      <c r="K137" s="81">
        <v>459019.89</v>
      </c>
      <c r="L137" s="81">
        <v>1126791.82</v>
      </c>
      <c r="M137" s="81">
        <v>115194.95</v>
      </c>
      <c r="N137" s="81">
        <v>493663.15</v>
      </c>
      <c r="O137" s="81">
        <v>543100.05000000005</v>
      </c>
      <c r="P137" s="81">
        <f t="shared" si="104"/>
        <v>10493.730000000001</v>
      </c>
      <c r="Q137" s="60">
        <f t="shared" si="104"/>
        <v>79249.200500000006</v>
      </c>
      <c r="R137" s="60">
        <f t="shared" si="104"/>
        <v>79249.200500000006</v>
      </c>
      <c r="S137" s="60">
        <f t="shared" si="104"/>
        <v>713242.80450000009</v>
      </c>
      <c r="T137" s="60">
        <f t="shared" si="104"/>
        <v>713242.80450000009</v>
      </c>
      <c r="U137" s="60">
        <f t="shared" si="104"/>
        <v>1864701.15</v>
      </c>
      <c r="V137" s="60">
        <f t="shared" si="104"/>
        <v>54324.74</v>
      </c>
      <c r="W137" s="60">
        <f t="shared" si="104"/>
        <v>0</v>
      </c>
      <c r="X137" s="60">
        <f t="shared" si="104"/>
        <v>0</v>
      </c>
      <c r="Y137" s="60">
        <f t="shared" si="104"/>
        <v>0</v>
      </c>
      <c r="Z137" s="94">
        <f t="shared" si="52"/>
        <v>7602791.0700000022</v>
      </c>
      <c r="AD137" s="59">
        <f t="shared" si="102"/>
        <v>7602791.0700000022</v>
      </c>
      <c r="AF137" s="59">
        <f t="shared" si="103"/>
        <v>0</v>
      </c>
    </row>
    <row r="138" spans="1:32" ht="46.95" customHeight="1" x14ac:dyDescent="0.3">
      <c r="A138" s="27" t="s">
        <v>369</v>
      </c>
      <c r="B138" s="18" t="s">
        <v>114</v>
      </c>
      <c r="C138" s="43"/>
      <c r="D138" s="37"/>
      <c r="E138" s="67"/>
      <c r="F138" s="37">
        <f t="shared" ref="F138:Y138" si="105">F139+F141+F147+F150+F154</f>
        <v>3796814.0599999996</v>
      </c>
      <c r="G138" s="82">
        <v>0</v>
      </c>
      <c r="H138" s="82">
        <v>0</v>
      </c>
      <c r="I138" s="82">
        <v>411980.01</v>
      </c>
      <c r="J138" s="82">
        <v>180219.96000000002</v>
      </c>
      <c r="K138" s="82">
        <v>285124.07</v>
      </c>
      <c r="L138" s="82">
        <v>1013810.78</v>
      </c>
      <c r="M138" s="82">
        <v>115194.95</v>
      </c>
      <c r="N138" s="82">
        <v>493663.15</v>
      </c>
      <c r="O138" s="82">
        <v>451202.55000000005</v>
      </c>
      <c r="P138" s="82">
        <f t="shared" si="105"/>
        <v>-4505.9599999999991</v>
      </c>
      <c r="Q138" s="32">
        <f t="shared" si="105"/>
        <v>20440.678000000004</v>
      </c>
      <c r="R138" s="32">
        <f t="shared" si="105"/>
        <v>20440.678000000004</v>
      </c>
      <c r="S138" s="32">
        <f t="shared" si="105"/>
        <v>183966.10200000004</v>
      </c>
      <c r="T138" s="32">
        <f t="shared" si="105"/>
        <v>183966.10200000004</v>
      </c>
      <c r="U138" s="32">
        <f t="shared" si="105"/>
        <v>441310.98999999987</v>
      </c>
      <c r="V138" s="32">
        <f t="shared" si="105"/>
        <v>0</v>
      </c>
      <c r="W138" s="32">
        <f t="shared" si="105"/>
        <v>0</v>
      </c>
      <c r="X138" s="32">
        <f t="shared" si="105"/>
        <v>0</v>
      </c>
      <c r="Y138" s="32">
        <f t="shared" si="105"/>
        <v>0</v>
      </c>
      <c r="Z138" s="95">
        <f t="shared" si="52"/>
        <v>3796814.0599999991</v>
      </c>
      <c r="AD138" s="59">
        <f t="shared" si="102"/>
        <v>3796814.0599999991</v>
      </c>
      <c r="AF138" s="59">
        <f t="shared" si="103"/>
        <v>0</v>
      </c>
    </row>
    <row r="139" spans="1:32" ht="46.95" customHeight="1" x14ac:dyDescent="0.3">
      <c r="A139" s="29" t="s">
        <v>370</v>
      </c>
      <c r="B139" s="21" t="s">
        <v>115</v>
      </c>
      <c r="C139" s="44"/>
      <c r="D139" s="40"/>
      <c r="E139" s="67"/>
      <c r="F139" s="40">
        <f t="shared" ref="F139:Y139" si="106">SUM(F140)</f>
        <v>32440.75</v>
      </c>
      <c r="G139" s="84">
        <v>0</v>
      </c>
      <c r="H139" s="84">
        <v>0</v>
      </c>
      <c r="I139" s="84">
        <v>8118.96</v>
      </c>
      <c r="J139" s="84">
        <v>2607.5300000000002</v>
      </c>
      <c r="K139" s="84">
        <v>5906.63</v>
      </c>
      <c r="L139" s="84">
        <v>15807.63</v>
      </c>
      <c r="M139" s="84">
        <v>0</v>
      </c>
      <c r="N139" s="84">
        <v>0</v>
      </c>
      <c r="O139" s="84">
        <v>0</v>
      </c>
      <c r="P139" s="84">
        <f t="shared" si="106"/>
        <v>0</v>
      </c>
      <c r="Q139" s="35">
        <f t="shared" si="106"/>
        <v>0</v>
      </c>
      <c r="R139" s="35">
        <f t="shared" si="106"/>
        <v>0</v>
      </c>
      <c r="S139" s="35">
        <f t="shared" si="106"/>
        <v>0</v>
      </c>
      <c r="T139" s="35">
        <f t="shared" si="106"/>
        <v>0</v>
      </c>
      <c r="U139" s="35">
        <f t="shared" si="106"/>
        <v>0</v>
      </c>
      <c r="V139" s="35">
        <f t="shared" si="106"/>
        <v>0</v>
      </c>
      <c r="W139" s="35">
        <f t="shared" si="106"/>
        <v>0</v>
      </c>
      <c r="X139" s="35">
        <f t="shared" si="106"/>
        <v>0</v>
      </c>
      <c r="Y139" s="35">
        <f t="shared" si="106"/>
        <v>0</v>
      </c>
      <c r="Z139" s="97">
        <f t="shared" si="52"/>
        <v>32440.75</v>
      </c>
      <c r="AD139" s="59">
        <f t="shared" si="102"/>
        <v>32440.75</v>
      </c>
      <c r="AF139" s="59">
        <f t="shared" si="103"/>
        <v>0</v>
      </c>
    </row>
    <row r="140" spans="1:32" ht="46.95" customHeight="1" x14ac:dyDescent="0.3">
      <c r="A140" s="26" t="s">
        <v>371</v>
      </c>
      <c r="B140" s="17" t="s">
        <v>116</v>
      </c>
      <c r="C140" s="22" t="s">
        <v>28</v>
      </c>
      <c r="D140" s="38">
        <v>19542.62</v>
      </c>
      <c r="E140" s="39">
        <v>1.66</v>
      </c>
      <c r="F140" s="38">
        <v>32440.75</v>
      </c>
      <c r="G140" s="83"/>
      <c r="H140" s="83"/>
      <c r="I140" s="83">
        <v>8118.96</v>
      </c>
      <c r="J140" s="83">
        <v>2607.5300000000002</v>
      </c>
      <c r="K140" s="83">
        <v>5906.63</v>
      </c>
      <c r="L140" s="83">
        <v>15807.63</v>
      </c>
      <c r="M140" s="83"/>
      <c r="N140" s="83"/>
      <c r="O140" s="83"/>
      <c r="P140" s="83"/>
      <c r="Q140" s="33"/>
      <c r="R140" s="33"/>
      <c r="S140" s="33"/>
      <c r="T140" s="33"/>
      <c r="U140" s="33"/>
      <c r="V140" s="33"/>
      <c r="W140" s="33"/>
      <c r="X140" s="33"/>
      <c r="Y140" s="33"/>
      <c r="Z140" s="96">
        <f t="shared" ref="Z140:Z203" si="107">SUM(G140:Y140)</f>
        <v>32440.75</v>
      </c>
      <c r="AD140" s="59">
        <f t="shared" si="102"/>
        <v>32440.75</v>
      </c>
      <c r="AF140" s="59">
        <f t="shared" si="103"/>
        <v>0</v>
      </c>
    </row>
    <row r="141" spans="1:32" ht="46.95" customHeight="1" x14ac:dyDescent="0.3">
      <c r="A141" s="29" t="s">
        <v>372</v>
      </c>
      <c r="B141" s="21" t="s">
        <v>51</v>
      </c>
      <c r="C141" s="44"/>
      <c r="D141" s="40"/>
      <c r="E141" s="67"/>
      <c r="F141" s="40">
        <f t="shared" ref="F141:Y141" si="108">SUM(F142:F146)</f>
        <v>1481497.97</v>
      </c>
      <c r="G141" s="84">
        <v>0</v>
      </c>
      <c r="H141" s="84">
        <v>0</v>
      </c>
      <c r="I141" s="84">
        <v>269057.84999999998</v>
      </c>
      <c r="J141" s="84">
        <v>120122.83000000002</v>
      </c>
      <c r="K141" s="84">
        <v>184062.24</v>
      </c>
      <c r="L141" s="84">
        <v>246850.82</v>
      </c>
      <c r="M141" s="84">
        <v>74463.59</v>
      </c>
      <c r="N141" s="84">
        <v>186066.5</v>
      </c>
      <c r="O141" s="84">
        <v>56063.47</v>
      </c>
      <c r="P141" s="84">
        <f t="shared" si="108"/>
        <v>0</v>
      </c>
      <c r="Q141" s="35">
        <f t="shared" si="108"/>
        <v>17240.533500000005</v>
      </c>
      <c r="R141" s="35">
        <f t="shared" si="108"/>
        <v>17240.533500000005</v>
      </c>
      <c r="S141" s="35">
        <f t="shared" si="108"/>
        <v>155164.80150000006</v>
      </c>
      <c r="T141" s="35">
        <f t="shared" si="108"/>
        <v>155164.80150000006</v>
      </c>
      <c r="U141" s="35">
        <f t="shared" si="108"/>
        <v>0</v>
      </c>
      <c r="V141" s="35">
        <f t="shared" si="108"/>
        <v>0</v>
      </c>
      <c r="W141" s="35">
        <f t="shared" si="108"/>
        <v>0</v>
      </c>
      <c r="X141" s="35">
        <f t="shared" si="108"/>
        <v>0</v>
      </c>
      <c r="Y141" s="35">
        <f t="shared" si="108"/>
        <v>0</v>
      </c>
      <c r="Z141" s="97">
        <f t="shared" si="107"/>
        <v>1481497.97</v>
      </c>
      <c r="AD141" s="59">
        <f t="shared" si="102"/>
        <v>1481497.97</v>
      </c>
      <c r="AF141" s="59">
        <f t="shared" si="103"/>
        <v>0</v>
      </c>
    </row>
    <row r="142" spans="1:32" ht="46.95" customHeight="1" x14ac:dyDescent="0.3">
      <c r="A142" s="26" t="s">
        <v>373</v>
      </c>
      <c r="B142" s="17" t="s">
        <v>117</v>
      </c>
      <c r="C142" s="22" t="s">
        <v>47</v>
      </c>
      <c r="D142" s="38">
        <v>17058.880000000005</v>
      </c>
      <c r="E142" s="39">
        <v>11.35</v>
      </c>
      <c r="F142" s="38">
        <f>ROUND(D142*E142,2)</f>
        <v>193618.29</v>
      </c>
      <c r="G142" s="83"/>
      <c r="H142" s="83"/>
      <c r="I142" s="83">
        <v>31334.97</v>
      </c>
      <c r="J142" s="83">
        <v>14602.8</v>
      </c>
      <c r="K142" s="83">
        <v>22117.06</v>
      </c>
      <c r="L142" s="83">
        <v>29055.89</v>
      </c>
      <c r="M142" s="83">
        <v>8442.39</v>
      </c>
      <c r="N142" s="83">
        <v>23956.45</v>
      </c>
      <c r="O142" s="83">
        <v>7329.25</v>
      </c>
      <c r="P142" s="83"/>
      <c r="Q142" s="33">
        <f>(F142-SUM(G142:P142))*0.05</f>
        <v>2838.9740000000006</v>
      </c>
      <c r="R142" s="33">
        <f>(F142-SUM(G142:P142))*0.05</f>
        <v>2838.9740000000006</v>
      </c>
      <c r="S142" s="33">
        <f>(F142-SUM(G142:P142))*0.45</f>
        <v>25550.766000000007</v>
      </c>
      <c r="T142" s="33">
        <f>(F142-SUM(G142:P142))*0.45</f>
        <v>25550.766000000007</v>
      </c>
      <c r="U142" s="33"/>
      <c r="V142" s="33"/>
      <c r="W142" s="33"/>
      <c r="X142" s="33"/>
      <c r="Y142" s="33"/>
      <c r="Z142" s="96">
        <f t="shared" si="107"/>
        <v>193618.28999999998</v>
      </c>
      <c r="AD142" s="59">
        <f t="shared" si="102"/>
        <v>193618.28999999998</v>
      </c>
      <c r="AF142" s="59">
        <f t="shared" si="103"/>
        <v>0</v>
      </c>
    </row>
    <row r="143" spans="1:32" ht="46.95" customHeight="1" x14ac:dyDescent="0.3">
      <c r="A143" s="26" t="s">
        <v>374</v>
      </c>
      <c r="B143" s="17" t="s">
        <v>118</v>
      </c>
      <c r="C143" s="22" t="s">
        <v>28</v>
      </c>
      <c r="D143" s="38">
        <v>19542.62</v>
      </c>
      <c r="E143" s="39">
        <v>8.5399999999999991</v>
      </c>
      <c r="F143" s="38">
        <v>166893.97</v>
      </c>
      <c r="G143" s="83"/>
      <c r="H143" s="83"/>
      <c r="I143" s="83">
        <v>34843.199999999997</v>
      </c>
      <c r="J143" s="83">
        <v>14859.6</v>
      </c>
      <c r="K143" s="83">
        <v>24595.200000000001</v>
      </c>
      <c r="L143" s="83">
        <v>31683.4</v>
      </c>
      <c r="M143" s="83">
        <v>9945.68</v>
      </c>
      <c r="N143" s="83">
        <v>26580.75</v>
      </c>
      <c r="O143" s="83">
        <v>7843.11</v>
      </c>
      <c r="P143" s="83"/>
      <c r="Q143" s="33">
        <f>(F143-SUM(G143:P143))*0.05</f>
        <v>827.15150000000142</v>
      </c>
      <c r="R143" s="33">
        <f>(F143-SUM(G143:P143))*0.05</f>
        <v>827.15150000000142</v>
      </c>
      <c r="S143" s="33">
        <f>(F143-SUM(G143:P143))*0.45</f>
        <v>7444.3635000000131</v>
      </c>
      <c r="T143" s="33">
        <f>(F143-SUM(G143:P143))*0.45</f>
        <v>7444.3635000000131</v>
      </c>
      <c r="U143" s="33"/>
      <c r="V143" s="33"/>
      <c r="W143" s="33"/>
      <c r="X143" s="33"/>
      <c r="Y143" s="33"/>
      <c r="Z143" s="96">
        <f t="shared" si="107"/>
        <v>166893.97</v>
      </c>
      <c r="AD143" s="59">
        <f t="shared" si="102"/>
        <v>166893.97</v>
      </c>
      <c r="AF143" s="59">
        <f t="shared" si="103"/>
        <v>0</v>
      </c>
    </row>
    <row r="144" spans="1:32" ht="46.95" customHeight="1" x14ac:dyDescent="0.3">
      <c r="A144" s="26" t="s">
        <v>375</v>
      </c>
      <c r="B144" s="17" t="s">
        <v>119</v>
      </c>
      <c r="C144" s="22" t="s">
        <v>28</v>
      </c>
      <c r="D144" s="38">
        <v>19542.62</v>
      </c>
      <c r="E144" s="39">
        <v>23.08</v>
      </c>
      <c r="F144" s="38">
        <v>451043.67</v>
      </c>
      <c r="G144" s="83"/>
      <c r="H144" s="83"/>
      <c r="I144" s="83">
        <v>94166.399999999994</v>
      </c>
      <c r="J144" s="83">
        <v>40159.199999999997</v>
      </c>
      <c r="K144" s="83">
        <v>60861.96</v>
      </c>
      <c r="L144" s="83">
        <v>85626.8</v>
      </c>
      <c r="M144" s="83">
        <v>26878.97</v>
      </c>
      <c r="N144" s="83">
        <v>52680.1</v>
      </c>
      <c r="O144" s="83">
        <v>15544.18</v>
      </c>
      <c r="P144" s="83"/>
      <c r="Q144" s="33">
        <f>(F144-SUM(G144:P144))*0.05</f>
        <v>3756.3030000000031</v>
      </c>
      <c r="R144" s="33">
        <f>(F144-SUM(G144:P144))*0.05</f>
        <v>3756.3030000000031</v>
      </c>
      <c r="S144" s="33">
        <f>(F144-SUM(G144:P144))*0.45</f>
        <v>33806.727000000028</v>
      </c>
      <c r="T144" s="33">
        <f>(F144-SUM(G144:P144))*0.45</f>
        <v>33806.727000000028</v>
      </c>
      <c r="U144" s="33"/>
      <c r="V144" s="33"/>
      <c r="W144" s="33"/>
      <c r="X144" s="33"/>
      <c r="Y144" s="33"/>
      <c r="Z144" s="96">
        <f t="shared" si="107"/>
        <v>451043.67</v>
      </c>
      <c r="AD144" s="59">
        <f t="shared" si="102"/>
        <v>451043.67</v>
      </c>
      <c r="AF144" s="59">
        <f t="shared" si="103"/>
        <v>0</v>
      </c>
    </row>
    <row r="145" spans="1:32" ht="46.95" customHeight="1" x14ac:dyDescent="0.3">
      <c r="A145" s="26" t="s">
        <v>376</v>
      </c>
      <c r="B145" s="17" t="s">
        <v>120</v>
      </c>
      <c r="C145" s="22" t="s">
        <v>47</v>
      </c>
      <c r="D145" s="38">
        <v>5.59</v>
      </c>
      <c r="E145" s="39">
        <v>62.03</v>
      </c>
      <c r="F145" s="38">
        <v>346.75</v>
      </c>
      <c r="G145" s="83"/>
      <c r="H145" s="83"/>
      <c r="I145" s="83">
        <v>346.75</v>
      </c>
      <c r="J145" s="83"/>
      <c r="K145" s="83"/>
      <c r="L145" s="83"/>
      <c r="M145" s="83"/>
      <c r="N145" s="83"/>
      <c r="O145" s="83"/>
      <c r="P145" s="83"/>
      <c r="Q145" s="103"/>
      <c r="R145" s="103"/>
      <c r="S145" s="33"/>
      <c r="T145" s="33"/>
      <c r="U145" s="33"/>
      <c r="V145" s="33"/>
      <c r="W145" s="33"/>
      <c r="X145" s="33"/>
      <c r="Y145" s="33"/>
      <c r="Z145" s="96">
        <f t="shared" si="107"/>
        <v>346.75</v>
      </c>
      <c r="AD145" s="59">
        <f t="shared" si="102"/>
        <v>346.75</v>
      </c>
      <c r="AF145" s="59">
        <f t="shared" si="103"/>
        <v>0</v>
      </c>
    </row>
    <row r="146" spans="1:32" ht="46.95" customHeight="1" x14ac:dyDescent="0.3">
      <c r="A146" s="26" t="s">
        <v>377</v>
      </c>
      <c r="B146" s="17" t="s">
        <v>55</v>
      </c>
      <c r="C146" s="22" t="s">
        <v>47</v>
      </c>
      <c r="D146" s="38">
        <v>20470.66</v>
      </c>
      <c r="E146" s="39">
        <v>32.71</v>
      </c>
      <c r="F146" s="38">
        <f>ROUND(D146*E146,2)</f>
        <v>669595.29</v>
      </c>
      <c r="G146" s="83"/>
      <c r="H146" s="83"/>
      <c r="I146" s="83">
        <v>108366.53</v>
      </c>
      <c r="J146" s="83">
        <v>50501.23</v>
      </c>
      <c r="K146" s="83">
        <v>76488.02</v>
      </c>
      <c r="L146" s="83">
        <v>100484.73</v>
      </c>
      <c r="M146" s="83">
        <v>29196.55</v>
      </c>
      <c r="N146" s="83">
        <v>82849.2</v>
      </c>
      <c r="O146" s="83">
        <v>25346.93</v>
      </c>
      <c r="P146" s="83"/>
      <c r="Q146" s="33">
        <f>(F146-SUM(G146:P146))*0.05</f>
        <v>9818.1050000000014</v>
      </c>
      <c r="R146" s="33">
        <f>(F146-SUM(G146:P146))*0.05</f>
        <v>9818.1050000000014</v>
      </c>
      <c r="S146" s="33">
        <f>(F146-SUM(G146:P146))*0.45</f>
        <v>88362.945000000022</v>
      </c>
      <c r="T146" s="33">
        <f>(F146-SUM(G146:P146))*0.45</f>
        <v>88362.945000000022</v>
      </c>
      <c r="U146" s="33"/>
      <c r="V146" s="33"/>
      <c r="W146" s="33"/>
      <c r="X146" s="33"/>
      <c r="Y146" s="33"/>
      <c r="Z146" s="96">
        <f t="shared" si="107"/>
        <v>669595.29</v>
      </c>
      <c r="AD146" s="59">
        <f t="shared" si="102"/>
        <v>669595.29</v>
      </c>
      <c r="AF146" s="59">
        <f t="shared" si="103"/>
        <v>0</v>
      </c>
    </row>
    <row r="147" spans="1:32" ht="46.95" customHeight="1" x14ac:dyDescent="0.3">
      <c r="A147" s="29" t="s">
        <v>378</v>
      </c>
      <c r="B147" s="21" t="s">
        <v>121</v>
      </c>
      <c r="C147" s="44"/>
      <c r="D147" s="40"/>
      <c r="E147" s="67"/>
      <c r="F147" s="40">
        <f t="shared" ref="F147:Y147" si="109">SUM(F148:F149)</f>
        <v>645688.15999999992</v>
      </c>
      <c r="G147" s="84">
        <v>0</v>
      </c>
      <c r="H147" s="84">
        <v>0</v>
      </c>
      <c r="I147" s="84">
        <v>134803.20000000001</v>
      </c>
      <c r="J147" s="84">
        <v>57489.599999999999</v>
      </c>
      <c r="K147" s="84">
        <v>95155.199999999997</v>
      </c>
      <c r="L147" s="84">
        <v>122578.4</v>
      </c>
      <c r="M147" s="84">
        <v>38478.380000000005</v>
      </c>
      <c r="N147" s="84">
        <v>34134.379999999997</v>
      </c>
      <c r="O147" s="84">
        <v>99046.11</v>
      </c>
      <c r="P147" s="84">
        <f t="shared" si="109"/>
        <v>0</v>
      </c>
      <c r="Q147" s="35">
        <f t="shared" si="109"/>
        <v>3200.1444999999981</v>
      </c>
      <c r="R147" s="35">
        <f t="shared" si="109"/>
        <v>3200.1444999999981</v>
      </c>
      <c r="S147" s="35">
        <f t="shared" si="109"/>
        <v>28801.300499999983</v>
      </c>
      <c r="T147" s="35">
        <f t="shared" si="109"/>
        <v>28801.300499999983</v>
      </c>
      <c r="U147" s="35">
        <f t="shared" si="109"/>
        <v>0</v>
      </c>
      <c r="V147" s="35">
        <f t="shared" si="109"/>
        <v>0</v>
      </c>
      <c r="W147" s="35">
        <f t="shared" si="109"/>
        <v>0</v>
      </c>
      <c r="X147" s="35">
        <f t="shared" si="109"/>
        <v>0</v>
      </c>
      <c r="Y147" s="35">
        <f t="shared" si="109"/>
        <v>0</v>
      </c>
      <c r="Z147" s="97">
        <f t="shared" si="107"/>
        <v>645688.16000000015</v>
      </c>
      <c r="AD147" s="59">
        <f t="shared" si="102"/>
        <v>645688.16000000015</v>
      </c>
      <c r="AF147" s="59">
        <f t="shared" si="103"/>
        <v>0</v>
      </c>
    </row>
    <row r="148" spans="1:32" ht="46.95" customHeight="1" x14ac:dyDescent="0.3">
      <c r="A148" s="26" t="s">
        <v>379</v>
      </c>
      <c r="B148" s="17" t="s">
        <v>380</v>
      </c>
      <c r="C148" s="22" t="s">
        <v>28</v>
      </c>
      <c r="D148" s="38">
        <v>19542.62</v>
      </c>
      <c r="E148" s="39">
        <v>16.55</v>
      </c>
      <c r="F148" s="38">
        <f>ROUND(D148*E148,2)</f>
        <v>323430.36</v>
      </c>
      <c r="G148" s="83"/>
      <c r="H148" s="83"/>
      <c r="I148" s="83">
        <v>67524</v>
      </c>
      <c r="J148" s="83">
        <v>28797</v>
      </c>
      <c r="K148" s="83">
        <v>47664</v>
      </c>
      <c r="L148" s="83">
        <v>61400.5</v>
      </c>
      <c r="M148" s="83">
        <v>19274.13</v>
      </c>
      <c r="N148" s="83">
        <v>34134.379999999997</v>
      </c>
      <c r="O148" s="83">
        <v>32576.98</v>
      </c>
      <c r="P148" s="83"/>
      <c r="Q148" s="33">
        <f t="shared" ref="Q148:Q149" si="110">(F148-SUM(G148:P148))*0.05</f>
        <v>1602.9684999999999</v>
      </c>
      <c r="R148" s="33">
        <f t="shared" ref="R148:R149" si="111">(F148-SUM(G148:P148))*0.05</f>
        <v>1602.9684999999999</v>
      </c>
      <c r="S148" s="33">
        <f t="shared" ref="S148:S149" si="112">(F148-SUM(G148:P148))*0.45</f>
        <v>14426.716499999999</v>
      </c>
      <c r="T148" s="33">
        <f t="shared" ref="T148:T149" si="113">(F148-SUM(G148:P148))*0.45</f>
        <v>14426.716499999999</v>
      </c>
      <c r="U148" s="33"/>
      <c r="V148" s="33"/>
      <c r="W148" s="33"/>
      <c r="X148" s="33"/>
      <c r="Y148" s="33"/>
      <c r="Z148" s="96">
        <f t="shared" si="107"/>
        <v>323430.36</v>
      </c>
      <c r="AD148" s="59">
        <f t="shared" si="102"/>
        <v>323430.36</v>
      </c>
      <c r="AF148" s="59">
        <f t="shared" si="103"/>
        <v>0</v>
      </c>
    </row>
    <row r="149" spans="1:32" s="14" customFormat="1" ht="46.95" customHeight="1" x14ac:dyDescent="0.3">
      <c r="A149" s="26" t="s">
        <v>381</v>
      </c>
      <c r="B149" s="17" t="s">
        <v>122</v>
      </c>
      <c r="C149" s="22" t="s">
        <v>28</v>
      </c>
      <c r="D149" s="38">
        <v>19542.62</v>
      </c>
      <c r="E149" s="39">
        <v>16.489999999999998</v>
      </c>
      <c r="F149" s="38">
        <v>322257.8</v>
      </c>
      <c r="G149" s="83"/>
      <c r="H149" s="83"/>
      <c r="I149" s="83">
        <v>67279.199999999997</v>
      </c>
      <c r="J149" s="83">
        <v>28692.6</v>
      </c>
      <c r="K149" s="83">
        <v>47491.199999999997</v>
      </c>
      <c r="L149" s="83">
        <v>61177.9</v>
      </c>
      <c r="M149" s="83">
        <v>19204.25</v>
      </c>
      <c r="N149" s="83"/>
      <c r="O149" s="83">
        <v>66469.13</v>
      </c>
      <c r="P149" s="83"/>
      <c r="Q149" s="33">
        <f t="shared" si="110"/>
        <v>1597.1759999999981</v>
      </c>
      <c r="R149" s="33">
        <f t="shared" si="111"/>
        <v>1597.1759999999981</v>
      </c>
      <c r="S149" s="33">
        <f t="shared" si="112"/>
        <v>14374.583999999983</v>
      </c>
      <c r="T149" s="33">
        <f t="shared" si="113"/>
        <v>14374.583999999983</v>
      </c>
      <c r="U149" s="33"/>
      <c r="V149" s="33"/>
      <c r="W149" s="33"/>
      <c r="X149" s="33"/>
      <c r="Y149" s="33"/>
      <c r="Z149" s="96">
        <f t="shared" si="107"/>
        <v>322257.79999999993</v>
      </c>
      <c r="AA149" s="13"/>
      <c r="AD149" s="59">
        <f t="shared" si="102"/>
        <v>322257.79999999993</v>
      </c>
      <c r="AF149" s="59">
        <f t="shared" si="103"/>
        <v>0</v>
      </c>
    </row>
    <row r="150" spans="1:32" ht="46.95" customHeight="1" x14ac:dyDescent="0.3">
      <c r="A150" s="29" t="s">
        <v>382</v>
      </c>
      <c r="B150" s="21" t="s">
        <v>123</v>
      </c>
      <c r="C150" s="44"/>
      <c r="D150" s="40"/>
      <c r="E150" s="67"/>
      <c r="F150" s="40">
        <f t="shared" ref="F150:Y150" si="114">SUM(F151:F153)</f>
        <v>1615783.8199999998</v>
      </c>
      <c r="G150" s="84">
        <v>0</v>
      </c>
      <c r="H150" s="84">
        <v>0</v>
      </c>
      <c r="I150" s="84">
        <v>0</v>
      </c>
      <c r="J150" s="84">
        <v>0</v>
      </c>
      <c r="K150" s="84">
        <v>0</v>
      </c>
      <c r="L150" s="84">
        <v>618435.5</v>
      </c>
      <c r="M150" s="84">
        <v>0</v>
      </c>
      <c r="N150" s="84">
        <v>267266.56</v>
      </c>
      <c r="O150" s="84">
        <v>288770.77</v>
      </c>
      <c r="P150" s="84">
        <f t="shared" si="114"/>
        <v>0</v>
      </c>
      <c r="Q150" s="35">
        <f t="shared" si="114"/>
        <v>0</v>
      </c>
      <c r="R150" s="35">
        <f t="shared" si="114"/>
        <v>0</v>
      </c>
      <c r="S150" s="35">
        <f t="shared" si="114"/>
        <v>0</v>
      </c>
      <c r="T150" s="35">
        <f t="shared" si="114"/>
        <v>0</v>
      </c>
      <c r="U150" s="35">
        <f>SUM(U151:U153)</f>
        <v>441310.98999999987</v>
      </c>
      <c r="V150" s="35">
        <f t="shared" si="114"/>
        <v>0</v>
      </c>
      <c r="W150" s="35">
        <f>SUM(W151:W153)</f>
        <v>0</v>
      </c>
      <c r="X150" s="35">
        <f t="shared" si="114"/>
        <v>0</v>
      </c>
      <c r="Y150" s="35">
        <f t="shared" si="114"/>
        <v>0</v>
      </c>
      <c r="Z150" s="97">
        <f t="shared" si="107"/>
        <v>1615783.8199999998</v>
      </c>
      <c r="AD150" s="59">
        <f t="shared" si="102"/>
        <v>1615783.8199999998</v>
      </c>
      <c r="AF150" s="59">
        <f t="shared" si="103"/>
        <v>0</v>
      </c>
    </row>
    <row r="151" spans="1:32" ht="46.95" customHeight="1" x14ac:dyDescent="0.3">
      <c r="A151" s="26" t="s">
        <v>383</v>
      </c>
      <c r="B151" s="17" t="s">
        <v>124</v>
      </c>
      <c r="C151" s="22" t="s">
        <v>28</v>
      </c>
      <c r="D151" s="38">
        <v>19542.62</v>
      </c>
      <c r="E151" s="39">
        <v>10.31</v>
      </c>
      <c r="F151" s="38">
        <v>201484.41</v>
      </c>
      <c r="G151" s="83"/>
      <c r="H151" s="83"/>
      <c r="I151" s="83"/>
      <c r="J151" s="83"/>
      <c r="K151" s="83"/>
      <c r="L151" s="83">
        <v>81552.100000000006</v>
      </c>
      <c r="M151" s="83"/>
      <c r="N151" s="83">
        <v>33661.629999999997</v>
      </c>
      <c r="O151" s="83">
        <v>41558.32</v>
      </c>
      <c r="P151" s="83"/>
      <c r="Q151" s="33"/>
      <c r="R151" s="33"/>
      <c r="S151" s="33"/>
      <c r="T151" s="33"/>
      <c r="U151" s="33">
        <f>F151-SUM(G151:O151)</f>
        <v>44712.359999999986</v>
      </c>
      <c r="V151" s="33"/>
      <c r="W151" s="2"/>
      <c r="X151" s="33"/>
      <c r="Y151" s="33"/>
      <c r="Z151" s="96">
        <f t="shared" si="107"/>
        <v>201484.41</v>
      </c>
      <c r="AD151" s="59">
        <f t="shared" si="102"/>
        <v>201484.41</v>
      </c>
      <c r="AF151" s="59">
        <f t="shared" si="103"/>
        <v>0</v>
      </c>
    </row>
    <row r="152" spans="1:32" ht="46.95" customHeight="1" x14ac:dyDescent="0.3">
      <c r="A152" s="71" t="s">
        <v>384</v>
      </c>
      <c r="B152" s="17" t="s">
        <v>385</v>
      </c>
      <c r="C152" s="22" t="s">
        <v>28</v>
      </c>
      <c r="D152" s="38">
        <v>19542.62</v>
      </c>
      <c r="E152" s="39">
        <v>69.319999999999993</v>
      </c>
      <c r="F152" s="38">
        <f>ROUND(D152*E152,2)</f>
        <v>1354694.42</v>
      </c>
      <c r="G152" s="83"/>
      <c r="H152" s="83"/>
      <c r="I152" s="83"/>
      <c r="J152" s="83"/>
      <c r="K152" s="83"/>
      <c r="L152" s="83">
        <v>536883.4</v>
      </c>
      <c r="M152" s="83"/>
      <c r="N152" s="83">
        <v>233604.93</v>
      </c>
      <c r="O152" s="83">
        <v>247212.45</v>
      </c>
      <c r="P152" s="83"/>
      <c r="Q152" s="33"/>
      <c r="R152" s="33"/>
      <c r="S152" s="33"/>
      <c r="T152" s="33"/>
      <c r="U152" s="33">
        <f>F152-SUM(G152:O152)</f>
        <v>336993.6399999999</v>
      </c>
      <c r="V152" s="33"/>
      <c r="W152" s="2"/>
      <c r="X152" s="33"/>
      <c r="Y152" s="33"/>
      <c r="Z152" s="96">
        <f t="shared" si="107"/>
        <v>1354694.42</v>
      </c>
      <c r="AD152" s="59">
        <f t="shared" si="102"/>
        <v>1354694.42</v>
      </c>
      <c r="AF152" s="59">
        <f t="shared" si="103"/>
        <v>0</v>
      </c>
    </row>
    <row r="153" spans="1:32" ht="46.95" customHeight="1" x14ac:dyDescent="0.3">
      <c r="A153" s="26" t="s">
        <v>386</v>
      </c>
      <c r="B153" s="17" t="s">
        <v>387</v>
      </c>
      <c r="C153" s="22" t="s">
        <v>28</v>
      </c>
      <c r="D153" s="38">
        <v>19542.62</v>
      </c>
      <c r="E153" s="39">
        <v>3.05</v>
      </c>
      <c r="F153" s="38">
        <v>59604.99</v>
      </c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33"/>
      <c r="R153" s="33"/>
      <c r="S153" s="33"/>
      <c r="T153" s="33"/>
      <c r="U153" s="33">
        <f>F153-SUM(G153:O153)</f>
        <v>59604.99</v>
      </c>
      <c r="V153" s="33"/>
      <c r="W153" s="2"/>
      <c r="X153" s="33"/>
      <c r="Y153" s="33"/>
      <c r="Z153" s="96">
        <f t="shared" si="107"/>
        <v>59604.99</v>
      </c>
      <c r="AD153" s="59">
        <f t="shared" si="102"/>
        <v>59604.99</v>
      </c>
      <c r="AF153" s="59">
        <f t="shared" si="103"/>
        <v>0</v>
      </c>
    </row>
    <row r="154" spans="1:32" ht="46.95" customHeight="1" x14ac:dyDescent="0.3">
      <c r="A154" s="29" t="s">
        <v>388</v>
      </c>
      <c r="B154" s="21" t="s">
        <v>67</v>
      </c>
      <c r="C154" s="44"/>
      <c r="D154" s="40"/>
      <c r="E154" s="67"/>
      <c r="F154" s="40">
        <f t="shared" ref="F154:Y154" si="115">SUM(F155:F156)</f>
        <v>21403.360000000001</v>
      </c>
      <c r="G154" s="84">
        <v>0</v>
      </c>
      <c r="H154" s="84">
        <v>0</v>
      </c>
      <c r="I154" s="84">
        <v>0</v>
      </c>
      <c r="J154" s="84">
        <v>0</v>
      </c>
      <c r="K154" s="84">
        <v>0</v>
      </c>
      <c r="L154" s="84">
        <v>10138.43</v>
      </c>
      <c r="M154" s="84">
        <v>2252.98</v>
      </c>
      <c r="N154" s="84">
        <v>6195.7100000000009</v>
      </c>
      <c r="O154" s="84">
        <v>7322.2</v>
      </c>
      <c r="P154" s="84">
        <f t="shared" si="115"/>
        <v>-4505.9599999999991</v>
      </c>
      <c r="Q154" s="35">
        <f t="shared" si="115"/>
        <v>0</v>
      </c>
      <c r="R154" s="35">
        <f t="shared" si="115"/>
        <v>0</v>
      </c>
      <c r="S154" s="35">
        <f t="shared" si="115"/>
        <v>0</v>
      </c>
      <c r="T154" s="35">
        <f t="shared" si="115"/>
        <v>0</v>
      </c>
      <c r="U154" s="35">
        <f t="shared" si="115"/>
        <v>0</v>
      </c>
      <c r="V154" s="35">
        <f t="shared" si="115"/>
        <v>0</v>
      </c>
      <c r="W154" s="35">
        <f t="shared" si="115"/>
        <v>0</v>
      </c>
      <c r="X154" s="35">
        <f t="shared" si="115"/>
        <v>0</v>
      </c>
      <c r="Y154" s="35">
        <f t="shared" si="115"/>
        <v>0</v>
      </c>
      <c r="Z154" s="97">
        <f t="shared" si="107"/>
        <v>21403.360000000004</v>
      </c>
      <c r="AD154" s="59">
        <f t="shared" si="102"/>
        <v>21403.360000000004</v>
      </c>
      <c r="AF154" s="59">
        <f t="shared" si="103"/>
        <v>0</v>
      </c>
    </row>
    <row r="155" spans="1:32" ht="46.95" customHeight="1" x14ac:dyDescent="0.3">
      <c r="A155" s="26" t="s">
        <v>389</v>
      </c>
      <c r="B155" s="17" t="s">
        <v>125</v>
      </c>
      <c r="C155" s="22" t="s">
        <v>37</v>
      </c>
      <c r="D155" s="38">
        <v>38</v>
      </c>
      <c r="E155" s="39">
        <v>373.38</v>
      </c>
      <c r="F155" s="38">
        <v>14188.44</v>
      </c>
      <c r="G155" s="83"/>
      <c r="H155" s="83"/>
      <c r="I155" s="83"/>
      <c r="J155" s="83"/>
      <c r="K155" s="83"/>
      <c r="L155" s="83">
        <v>6720.84</v>
      </c>
      <c r="M155" s="83">
        <v>1493.52</v>
      </c>
      <c r="N155" s="83">
        <v>4107.18</v>
      </c>
      <c r="O155" s="83">
        <v>4853.9399999999996</v>
      </c>
      <c r="P155" s="83">
        <f>F155-SUM(G155:O155)</f>
        <v>-2987.0399999999991</v>
      </c>
      <c r="Q155" s="33"/>
      <c r="R155" s="33"/>
      <c r="S155" s="33"/>
      <c r="T155" s="33"/>
      <c r="U155" s="33"/>
      <c r="V155" s="33"/>
      <c r="W155" s="33"/>
      <c r="X155" s="33"/>
      <c r="Y155" s="33"/>
      <c r="Z155" s="96">
        <f t="shared" si="107"/>
        <v>14188.44</v>
      </c>
      <c r="AD155" s="59">
        <f t="shared" si="102"/>
        <v>14188.44</v>
      </c>
      <c r="AF155" s="59">
        <f t="shared" si="103"/>
        <v>0</v>
      </c>
    </row>
    <row r="156" spans="1:32" ht="46.95" customHeight="1" x14ac:dyDescent="0.3">
      <c r="A156" s="26" t="s">
        <v>390</v>
      </c>
      <c r="B156" s="17" t="s">
        <v>391</v>
      </c>
      <c r="C156" s="22" t="s">
        <v>86</v>
      </c>
      <c r="D156" s="38">
        <v>1048.68</v>
      </c>
      <c r="E156" s="39">
        <v>6.88</v>
      </c>
      <c r="F156" s="38">
        <f>ROUND(D156*E156,2)</f>
        <v>7214.92</v>
      </c>
      <c r="G156" s="83"/>
      <c r="H156" s="83"/>
      <c r="I156" s="83"/>
      <c r="J156" s="83"/>
      <c r="K156" s="83"/>
      <c r="L156" s="83">
        <v>3417.59</v>
      </c>
      <c r="M156" s="83">
        <v>759.46</v>
      </c>
      <c r="N156" s="83">
        <v>2088.5300000000002</v>
      </c>
      <c r="O156" s="83">
        <v>2468.2600000000002</v>
      </c>
      <c r="P156" s="83">
        <f>F156-SUM(G156:O156)</f>
        <v>-1518.92</v>
      </c>
      <c r="Q156" s="33"/>
      <c r="R156" s="33"/>
      <c r="S156" s="33"/>
      <c r="T156" s="33"/>
      <c r="U156" s="33"/>
      <c r="V156" s="33"/>
      <c r="W156" s="33"/>
      <c r="X156" s="33"/>
      <c r="Y156" s="33"/>
      <c r="Z156" s="96">
        <f t="shared" si="107"/>
        <v>7214.92</v>
      </c>
      <c r="AD156" s="59">
        <f t="shared" si="102"/>
        <v>7214.92</v>
      </c>
      <c r="AF156" s="59">
        <f t="shared" si="103"/>
        <v>0</v>
      </c>
    </row>
    <row r="157" spans="1:32" ht="46.95" customHeight="1" x14ac:dyDescent="0.3">
      <c r="A157" s="27" t="s">
        <v>392</v>
      </c>
      <c r="B157" s="18" t="s">
        <v>126</v>
      </c>
      <c r="C157" s="43"/>
      <c r="D157" s="37"/>
      <c r="E157" s="67"/>
      <c r="F157" s="37">
        <f t="shared" ref="F157:Y157" si="116">F158+F160+F166+F173+F169</f>
        <v>3805977.01</v>
      </c>
      <c r="G157" s="82">
        <v>0</v>
      </c>
      <c r="H157" s="82">
        <v>105346.48000000001</v>
      </c>
      <c r="I157" s="82">
        <v>652971.12999999989</v>
      </c>
      <c r="J157" s="82">
        <v>0</v>
      </c>
      <c r="K157" s="82">
        <v>173895.82</v>
      </c>
      <c r="L157" s="82">
        <v>112981.04</v>
      </c>
      <c r="M157" s="82">
        <v>0</v>
      </c>
      <c r="N157" s="82">
        <v>0</v>
      </c>
      <c r="O157" s="82">
        <v>91897.5</v>
      </c>
      <c r="P157" s="82">
        <f t="shared" si="116"/>
        <v>14999.69</v>
      </c>
      <c r="Q157" s="32">
        <f t="shared" si="116"/>
        <v>58808.522500000006</v>
      </c>
      <c r="R157" s="32">
        <f t="shared" si="116"/>
        <v>58808.522500000006</v>
      </c>
      <c r="S157" s="32">
        <f t="shared" si="116"/>
        <v>529276.70250000001</v>
      </c>
      <c r="T157" s="32">
        <f t="shared" si="116"/>
        <v>529276.70250000001</v>
      </c>
      <c r="U157" s="32">
        <f t="shared" si="116"/>
        <v>1423390.16</v>
      </c>
      <c r="V157" s="32">
        <f t="shared" si="116"/>
        <v>54324.74</v>
      </c>
      <c r="W157" s="32">
        <f t="shared" si="116"/>
        <v>0</v>
      </c>
      <c r="X157" s="32">
        <f t="shared" si="116"/>
        <v>0</v>
      </c>
      <c r="Y157" s="32">
        <f t="shared" si="116"/>
        <v>0</v>
      </c>
      <c r="Z157" s="95">
        <f t="shared" si="107"/>
        <v>3805977.01</v>
      </c>
      <c r="AD157" s="59">
        <f t="shared" si="102"/>
        <v>3805977.01</v>
      </c>
      <c r="AF157" s="59">
        <f t="shared" si="103"/>
        <v>0</v>
      </c>
    </row>
    <row r="158" spans="1:32" ht="46.95" customHeight="1" x14ac:dyDescent="0.3">
      <c r="A158" s="29" t="s">
        <v>393</v>
      </c>
      <c r="B158" s="21" t="s">
        <v>115</v>
      </c>
      <c r="C158" s="44"/>
      <c r="D158" s="40"/>
      <c r="E158" s="67"/>
      <c r="F158" s="40">
        <f t="shared" ref="F158:Y158" si="117">SUM(F159)</f>
        <v>29566.91</v>
      </c>
      <c r="G158" s="84">
        <v>0</v>
      </c>
      <c r="H158" s="84">
        <v>6797.43</v>
      </c>
      <c r="I158" s="84">
        <v>12041.74</v>
      </c>
      <c r="J158" s="84">
        <v>0</v>
      </c>
      <c r="K158" s="84">
        <v>2141.3200000000002</v>
      </c>
      <c r="L158" s="84">
        <v>8586.42</v>
      </c>
      <c r="M158" s="84">
        <v>0</v>
      </c>
      <c r="N158" s="84">
        <v>0</v>
      </c>
      <c r="O158" s="84">
        <v>0</v>
      </c>
      <c r="P158" s="84">
        <f t="shared" si="117"/>
        <v>0</v>
      </c>
      <c r="Q158" s="35">
        <f t="shared" si="117"/>
        <v>0</v>
      </c>
      <c r="R158" s="35">
        <f t="shared" si="117"/>
        <v>0</v>
      </c>
      <c r="S158" s="35">
        <f t="shared" si="117"/>
        <v>0</v>
      </c>
      <c r="T158" s="35">
        <f t="shared" si="117"/>
        <v>0</v>
      </c>
      <c r="U158" s="35">
        <f t="shared" si="117"/>
        <v>0</v>
      </c>
      <c r="V158" s="35">
        <f t="shared" si="117"/>
        <v>0</v>
      </c>
      <c r="W158" s="35">
        <f t="shared" si="117"/>
        <v>0</v>
      </c>
      <c r="X158" s="35">
        <f t="shared" si="117"/>
        <v>0</v>
      </c>
      <c r="Y158" s="35">
        <f t="shared" si="117"/>
        <v>0</v>
      </c>
      <c r="Z158" s="97">
        <f t="shared" si="107"/>
        <v>29566.909999999996</v>
      </c>
      <c r="AD158" s="59">
        <f t="shared" si="102"/>
        <v>29566.909999999996</v>
      </c>
      <c r="AF158" s="59">
        <f t="shared" si="103"/>
        <v>0</v>
      </c>
    </row>
    <row r="159" spans="1:32" ht="46.95" customHeight="1" x14ac:dyDescent="0.3">
      <c r="A159" s="26" t="s">
        <v>394</v>
      </c>
      <c r="B159" s="17" t="s">
        <v>116</v>
      </c>
      <c r="C159" s="22" t="s">
        <v>28</v>
      </c>
      <c r="D159" s="38">
        <v>17811.39</v>
      </c>
      <c r="E159" s="39">
        <v>1.66</v>
      </c>
      <c r="F159" s="38">
        <v>29566.91</v>
      </c>
      <c r="G159" s="83"/>
      <c r="H159" s="83">
        <v>6797.43</v>
      </c>
      <c r="I159" s="83">
        <v>12041.74</v>
      </c>
      <c r="J159" s="83"/>
      <c r="K159" s="83">
        <v>2141.3200000000002</v>
      </c>
      <c r="L159" s="83">
        <v>8586.42</v>
      </c>
      <c r="M159" s="83"/>
      <c r="N159" s="83"/>
      <c r="O159" s="83"/>
      <c r="P159" s="83"/>
      <c r="Q159" s="33"/>
      <c r="R159" s="33"/>
      <c r="S159" s="33"/>
      <c r="T159" s="33"/>
      <c r="U159" s="33"/>
      <c r="V159" s="33"/>
      <c r="W159" s="33"/>
      <c r="X159" s="33"/>
      <c r="Y159" s="33"/>
      <c r="Z159" s="96">
        <f t="shared" si="107"/>
        <v>29566.909999999996</v>
      </c>
      <c r="AD159" s="59">
        <f t="shared" si="102"/>
        <v>29566.909999999996</v>
      </c>
      <c r="AF159" s="59">
        <f t="shared" si="103"/>
        <v>0</v>
      </c>
    </row>
    <row r="160" spans="1:32" ht="46.95" customHeight="1" x14ac:dyDescent="0.3">
      <c r="A160" s="29" t="s">
        <v>395</v>
      </c>
      <c r="B160" s="21" t="s">
        <v>51</v>
      </c>
      <c r="C160" s="44"/>
      <c r="D160" s="40"/>
      <c r="E160" s="67"/>
      <c r="F160" s="40">
        <f t="shared" ref="F160:Y160" si="118">SUM(F161:F165)</f>
        <v>1708546.04</v>
      </c>
      <c r="G160" s="84">
        <v>0</v>
      </c>
      <c r="H160" s="84">
        <v>98549.05</v>
      </c>
      <c r="I160" s="84">
        <v>406793.79</v>
      </c>
      <c r="J160" s="84">
        <v>0</v>
      </c>
      <c r="K160" s="84">
        <v>120165.29999999999</v>
      </c>
      <c r="L160" s="84">
        <v>68679.01999999999</v>
      </c>
      <c r="M160" s="84">
        <v>0</v>
      </c>
      <c r="N160" s="84">
        <v>0</v>
      </c>
      <c r="O160" s="84">
        <v>85928.7</v>
      </c>
      <c r="P160" s="84">
        <f t="shared" si="118"/>
        <v>0</v>
      </c>
      <c r="Q160" s="35">
        <f t="shared" si="118"/>
        <v>46421.509000000005</v>
      </c>
      <c r="R160" s="35">
        <f t="shared" si="118"/>
        <v>46421.509000000005</v>
      </c>
      <c r="S160" s="35">
        <f t="shared" si="118"/>
        <v>417793.58100000001</v>
      </c>
      <c r="T160" s="35">
        <f t="shared" si="118"/>
        <v>417793.58100000001</v>
      </c>
      <c r="U160" s="35">
        <f t="shared" si="118"/>
        <v>0</v>
      </c>
      <c r="V160" s="35">
        <f t="shared" si="118"/>
        <v>0</v>
      </c>
      <c r="W160" s="35">
        <f t="shared" si="118"/>
        <v>0</v>
      </c>
      <c r="X160" s="35">
        <f t="shared" si="118"/>
        <v>0</v>
      </c>
      <c r="Y160" s="35">
        <f t="shared" si="118"/>
        <v>0</v>
      </c>
      <c r="Z160" s="97">
        <f t="shared" si="107"/>
        <v>1708546.0399999998</v>
      </c>
      <c r="AD160" s="59">
        <f t="shared" si="102"/>
        <v>1708546.0399999998</v>
      </c>
      <c r="AF160" s="59">
        <f t="shared" si="103"/>
        <v>0</v>
      </c>
    </row>
    <row r="161" spans="1:32" ht="46.95" customHeight="1" x14ac:dyDescent="0.3">
      <c r="A161" s="26" t="s">
        <v>396</v>
      </c>
      <c r="B161" s="17" t="s">
        <v>117</v>
      </c>
      <c r="C161" s="22" t="s">
        <v>47</v>
      </c>
      <c r="D161" s="38">
        <v>21058.21</v>
      </c>
      <c r="E161" s="39">
        <v>11.35</v>
      </c>
      <c r="F161" s="38">
        <f>ROUND(D161*E161,2)</f>
        <v>239010.68</v>
      </c>
      <c r="G161" s="83"/>
      <c r="H161" s="83">
        <v>22104.47</v>
      </c>
      <c r="I161" s="83">
        <v>42521.3</v>
      </c>
      <c r="J161" s="83"/>
      <c r="K161" s="83">
        <v>16490.759999999998</v>
      </c>
      <c r="L161" s="83">
        <v>8161.56</v>
      </c>
      <c r="M161" s="83"/>
      <c r="N161" s="83"/>
      <c r="O161" s="83">
        <v>11609.46</v>
      </c>
      <c r="P161" s="83"/>
      <c r="Q161" s="33">
        <f>(F161-SUM(G161:P161))*0.05</f>
        <v>6906.156500000001</v>
      </c>
      <c r="R161" s="33">
        <f>(F161-SUM(G161:P161))*0.05</f>
        <v>6906.156500000001</v>
      </c>
      <c r="S161" s="33">
        <f>(F161-SUM(G161:P161))*0.45</f>
        <v>62155.408500000005</v>
      </c>
      <c r="T161" s="33">
        <f>(F161-SUM(G161:P161))*0.45</f>
        <v>62155.408500000005</v>
      </c>
      <c r="U161" s="33"/>
      <c r="V161" s="33"/>
      <c r="W161" s="33"/>
      <c r="X161" s="33"/>
      <c r="Y161" s="33"/>
      <c r="Z161" s="96">
        <f t="shared" si="107"/>
        <v>239010.68</v>
      </c>
      <c r="AD161" s="59">
        <f t="shared" si="102"/>
        <v>239010.68</v>
      </c>
      <c r="AF161" s="59">
        <f t="shared" si="103"/>
        <v>0</v>
      </c>
    </row>
    <row r="162" spans="1:32" ht="46.95" customHeight="1" x14ac:dyDescent="0.3">
      <c r="A162" s="26" t="s">
        <v>397</v>
      </c>
      <c r="B162" s="17" t="s">
        <v>118</v>
      </c>
      <c r="C162" s="22" t="s">
        <v>28</v>
      </c>
      <c r="D162" s="38">
        <v>17811.39</v>
      </c>
      <c r="E162" s="39">
        <v>8.5399999999999991</v>
      </c>
      <c r="F162" s="38">
        <v>152109.26999999999</v>
      </c>
      <c r="G162" s="83"/>
      <c r="H162" s="83"/>
      <c r="I162" s="83">
        <v>60463.199999999997</v>
      </c>
      <c r="J162" s="83"/>
      <c r="K162" s="83">
        <v>13322.4</v>
      </c>
      <c r="L162" s="83">
        <v>9223.2000000000007</v>
      </c>
      <c r="M162" s="83"/>
      <c r="N162" s="83"/>
      <c r="O162" s="83">
        <v>12810</v>
      </c>
      <c r="P162" s="83"/>
      <c r="Q162" s="33">
        <f t="shared" ref="Q162:Q163" si="119">(F162-SUM(G162:P162))*0.05</f>
        <v>2814.5235000000002</v>
      </c>
      <c r="R162" s="33">
        <f t="shared" ref="R162:R163" si="120">(F162-SUM(G162:P162))*0.05</f>
        <v>2814.5235000000002</v>
      </c>
      <c r="S162" s="33">
        <f t="shared" ref="S162:S163" si="121">(F162-SUM(G162:P162))*0.45</f>
        <v>25330.711500000001</v>
      </c>
      <c r="T162" s="33">
        <f t="shared" ref="T162:T163" si="122">(F162-SUM(G162:P162))*0.45</f>
        <v>25330.711500000001</v>
      </c>
      <c r="U162" s="33"/>
      <c r="V162" s="33"/>
      <c r="W162" s="33"/>
      <c r="X162" s="33"/>
      <c r="Y162" s="33"/>
      <c r="Z162" s="96">
        <f t="shared" si="107"/>
        <v>152109.26999999999</v>
      </c>
      <c r="AD162" s="59">
        <f t="shared" si="102"/>
        <v>152109.26999999999</v>
      </c>
      <c r="AF162" s="59">
        <f t="shared" si="103"/>
        <v>0</v>
      </c>
    </row>
    <row r="163" spans="1:32" ht="46.95" customHeight="1" x14ac:dyDescent="0.3">
      <c r="A163" s="26" t="s">
        <v>398</v>
      </c>
      <c r="B163" s="17" t="s">
        <v>127</v>
      </c>
      <c r="C163" s="22" t="s">
        <v>28</v>
      </c>
      <c r="D163" s="38">
        <v>17811.39</v>
      </c>
      <c r="E163" s="39">
        <v>21.36</v>
      </c>
      <c r="F163" s="38">
        <v>380451.29</v>
      </c>
      <c r="G163" s="83"/>
      <c r="H163" s="83"/>
      <c r="I163" s="83">
        <v>151228.79999999999</v>
      </c>
      <c r="J163" s="83"/>
      <c r="K163" s="83">
        <v>33321.599999999999</v>
      </c>
      <c r="L163" s="83">
        <v>23068.799999999999</v>
      </c>
      <c r="M163" s="83"/>
      <c r="N163" s="83"/>
      <c r="O163" s="83">
        <v>21360</v>
      </c>
      <c r="P163" s="83"/>
      <c r="Q163" s="33">
        <f t="shared" si="119"/>
        <v>7573.6045000000004</v>
      </c>
      <c r="R163" s="33">
        <f t="shared" si="120"/>
        <v>7573.6045000000004</v>
      </c>
      <c r="S163" s="33">
        <f t="shared" si="121"/>
        <v>68162.440499999997</v>
      </c>
      <c r="T163" s="33">
        <f t="shared" si="122"/>
        <v>68162.440499999997</v>
      </c>
      <c r="U163" s="33"/>
      <c r="V163" s="33"/>
      <c r="W163" s="33"/>
      <c r="X163" s="33"/>
      <c r="Y163" s="33"/>
      <c r="Z163" s="96">
        <f t="shared" si="107"/>
        <v>380451.28999999992</v>
      </c>
      <c r="AD163" s="59">
        <f t="shared" si="102"/>
        <v>380451.28999999992</v>
      </c>
      <c r="AF163" s="59">
        <f t="shared" si="103"/>
        <v>0</v>
      </c>
    </row>
    <row r="164" spans="1:32" ht="46.95" customHeight="1" x14ac:dyDescent="0.3">
      <c r="A164" s="26" t="s">
        <v>399</v>
      </c>
      <c r="B164" s="17" t="s">
        <v>120</v>
      </c>
      <c r="C164" s="22" t="s">
        <v>47</v>
      </c>
      <c r="D164" s="38">
        <v>89.12</v>
      </c>
      <c r="E164" s="39">
        <v>62.03</v>
      </c>
      <c r="F164" s="38">
        <v>5528.11</v>
      </c>
      <c r="G164" s="83"/>
      <c r="H164" s="83"/>
      <c r="I164" s="83">
        <v>5528.11</v>
      </c>
      <c r="J164" s="83"/>
      <c r="K164" s="83"/>
      <c r="L164" s="83"/>
      <c r="M164" s="83"/>
      <c r="N164" s="83"/>
      <c r="O164" s="83"/>
      <c r="P164" s="83"/>
      <c r="Q164" s="103"/>
      <c r="R164" s="103"/>
      <c r="S164" s="33"/>
      <c r="T164" s="33"/>
      <c r="U164" s="33"/>
      <c r="V164" s="33"/>
      <c r="W164" s="33"/>
      <c r="X164" s="33"/>
      <c r="Y164" s="33"/>
      <c r="Z164" s="96">
        <f t="shared" si="107"/>
        <v>5528.11</v>
      </c>
      <c r="AD164" s="59">
        <f t="shared" si="102"/>
        <v>5528.11</v>
      </c>
      <c r="AF164" s="59">
        <f t="shared" si="103"/>
        <v>0</v>
      </c>
    </row>
    <row r="165" spans="1:32" ht="46.95" customHeight="1" x14ac:dyDescent="0.3">
      <c r="A165" s="26" t="s">
        <v>400</v>
      </c>
      <c r="B165" s="17" t="s">
        <v>55</v>
      </c>
      <c r="C165" s="22" t="s">
        <v>47</v>
      </c>
      <c r="D165" s="38">
        <v>28475.899999999998</v>
      </c>
      <c r="E165" s="39">
        <v>32.71</v>
      </c>
      <c r="F165" s="38">
        <f>ROUND(D165*E165,2)</f>
        <v>931446.69</v>
      </c>
      <c r="G165" s="83"/>
      <c r="H165" s="83">
        <v>76444.58</v>
      </c>
      <c r="I165" s="83">
        <v>147052.38</v>
      </c>
      <c r="J165" s="83"/>
      <c r="K165" s="83">
        <v>57030.54</v>
      </c>
      <c r="L165" s="83">
        <v>28225.46</v>
      </c>
      <c r="M165" s="83"/>
      <c r="N165" s="83"/>
      <c r="O165" s="83">
        <v>40149.24</v>
      </c>
      <c r="P165" s="83"/>
      <c r="Q165" s="33">
        <f t="shared" ref="Q165" si="123">(F165-SUM(G165:P165))*0.05</f>
        <v>29127.2245</v>
      </c>
      <c r="R165" s="33">
        <f t="shared" ref="R165" si="124">(F165-SUM(G165:P165))*0.05</f>
        <v>29127.2245</v>
      </c>
      <c r="S165" s="33">
        <f t="shared" ref="S165" si="125">(F165-SUM(G165:P165))*0.45</f>
        <v>262145.02049999998</v>
      </c>
      <c r="T165" s="33">
        <f t="shared" ref="T165" si="126">(F165-SUM(G165:P165))*0.45</f>
        <v>262145.02049999998</v>
      </c>
      <c r="U165" s="33"/>
      <c r="V165" s="33"/>
      <c r="W165" s="33"/>
      <c r="X165" s="33"/>
      <c r="Y165" s="33"/>
      <c r="Z165" s="96">
        <f t="shared" si="107"/>
        <v>931446.69000000006</v>
      </c>
      <c r="AD165" s="59">
        <f t="shared" si="102"/>
        <v>931446.69000000006</v>
      </c>
      <c r="AF165" s="59">
        <f t="shared" si="103"/>
        <v>0</v>
      </c>
    </row>
    <row r="166" spans="1:32" ht="46.95" customHeight="1" x14ac:dyDescent="0.3">
      <c r="A166" s="29" t="s">
        <v>401</v>
      </c>
      <c r="B166" s="21" t="s">
        <v>121</v>
      </c>
      <c r="C166" s="44"/>
      <c r="D166" s="40"/>
      <c r="E166" s="67"/>
      <c r="F166" s="40">
        <f t="shared" ref="F166:Y166" si="127">SUM(F167:F168)</f>
        <v>589022.66999999993</v>
      </c>
      <c r="G166" s="84">
        <v>0</v>
      </c>
      <c r="H166" s="84">
        <v>0</v>
      </c>
      <c r="I166" s="84">
        <v>234135.59999999998</v>
      </c>
      <c r="J166" s="84">
        <v>0</v>
      </c>
      <c r="K166" s="84">
        <v>51589.2</v>
      </c>
      <c r="L166" s="84">
        <v>35715.600000000006</v>
      </c>
      <c r="M166" s="84">
        <v>0</v>
      </c>
      <c r="N166" s="84">
        <v>0</v>
      </c>
      <c r="O166" s="84">
        <v>5968.8</v>
      </c>
      <c r="P166" s="84">
        <f t="shared" si="127"/>
        <v>13873.2</v>
      </c>
      <c r="Q166" s="35">
        <f t="shared" si="127"/>
        <v>12387.013500000001</v>
      </c>
      <c r="R166" s="35">
        <f t="shared" si="127"/>
        <v>12387.013500000001</v>
      </c>
      <c r="S166" s="35">
        <f t="shared" si="127"/>
        <v>111483.12150000001</v>
      </c>
      <c r="T166" s="35">
        <f t="shared" si="127"/>
        <v>111483.12150000001</v>
      </c>
      <c r="U166" s="35">
        <f t="shared" si="127"/>
        <v>0</v>
      </c>
      <c r="V166" s="35">
        <f t="shared" si="127"/>
        <v>0</v>
      </c>
      <c r="W166" s="35">
        <f t="shared" si="127"/>
        <v>0</v>
      </c>
      <c r="X166" s="35">
        <f t="shared" si="127"/>
        <v>0</v>
      </c>
      <c r="Y166" s="35">
        <f t="shared" si="127"/>
        <v>0</v>
      </c>
      <c r="Z166" s="97">
        <f t="shared" si="107"/>
        <v>589022.67000000004</v>
      </c>
      <c r="AD166" s="59">
        <f t="shared" si="102"/>
        <v>589022.67000000004</v>
      </c>
      <c r="AF166" s="59">
        <f t="shared" si="103"/>
        <v>0</v>
      </c>
    </row>
    <row r="167" spans="1:32" ht="46.95" customHeight="1" x14ac:dyDescent="0.3">
      <c r="A167" s="26" t="s">
        <v>402</v>
      </c>
      <c r="B167" s="17" t="s">
        <v>403</v>
      </c>
      <c r="C167" s="22" t="s">
        <v>28</v>
      </c>
      <c r="D167" s="38">
        <v>17811.39</v>
      </c>
      <c r="E167" s="39">
        <v>16.579999999999998</v>
      </c>
      <c r="F167" s="38">
        <f>ROUND(D167*E167,2)</f>
        <v>295312.84999999998</v>
      </c>
      <c r="G167" s="83"/>
      <c r="H167" s="83"/>
      <c r="I167" s="83">
        <v>117386.4</v>
      </c>
      <c r="J167" s="83"/>
      <c r="K167" s="83">
        <v>25864.799999999999</v>
      </c>
      <c r="L167" s="83">
        <v>17906.400000000001</v>
      </c>
      <c r="M167" s="83"/>
      <c r="N167" s="83"/>
      <c r="O167" s="83">
        <v>5968.8</v>
      </c>
      <c r="P167" s="83">
        <v>3979.2</v>
      </c>
      <c r="Q167" s="33">
        <f>(F167-SUM(G167:P167))*0.05</f>
        <v>6210.3625000000002</v>
      </c>
      <c r="R167" s="33">
        <f>(F167-SUM(G167:P167))*0.05</f>
        <v>6210.3625000000002</v>
      </c>
      <c r="S167" s="33">
        <f>(F167-SUM(G167:P167))*0.45</f>
        <v>55893.262500000004</v>
      </c>
      <c r="T167" s="33">
        <f>(F167-SUM(G167:P167))*0.45</f>
        <v>55893.262500000004</v>
      </c>
      <c r="U167" s="33"/>
      <c r="V167" s="33"/>
      <c r="W167" s="33"/>
      <c r="X167" s="33"/>
      <c r="Y167" s="33"/>
      <c r="Z167" s="96">
        <f t="shared" si="107"/>
        <v>295312.84999999998</v>
      </c>
      <c r="AD167" s="59">
        <f t="shared" si="102"/>
        <v>295312.84999999998</v>
      </c>
      <c r="AF167" s="59">
        <f t="shared" si="103"/>
        <v>0</v>
      </c>
    </row>
    <row r="168" spans="1:32" ht="46.95" customHeight="1" x14ac:dyDescent="0.3">
      <c r="A168" s="26" t="s">
        <v>404</v>
      </c>
      <c r="B168" s="17" t="s">
        <v>128</v>
      </c>
      <c r="C168" s="22" t="s">
        <v>28</v>
      </c>
      <c r="D168" s="38">
        <v>17811.39</v>
      </c>
      <c r="E168" s="39">
        <v>16.489999999999998</v>
      </c>
      <c r="F168" s="38">
        <v>293709.82</v>
      </c>
      <c r="G168" s="83"/>
      <c r="H168" s="83"/>
      <c r="I168" s="83">
        <v>116749.2</v>
      </c>
      <c r="J168" s="83"/>
      <c r="K168" s="83">
        <v>25724.400000000001</v>
      </c>
      <c r="L168" s="83">
        <v>17809.2</v>
      </c>
      <c r="M168" s="83"/>
      <c r="N168" s="83"/>
      <c r="O168" s="83"/>
      <c r="P168" s="83">
        <v>9894</v>
      </c>
      <c r="Q168" s="33">
        <f>(F168-SUM(G168:P168))*0.05</f>
        <v>6176.6509999999998</v>
      </c>
      <c r="R168" s="33">
        <f>(F168-SUM(G168:P168))*0.05</f>
        <v>6176.6509999999998</v>
      </c>
      <c r="S168" s="33">
        <f>(F168-SUM(G168:P168))*0.45</f>
        <v>55589.858999999997</v>
      </c>
      <c r="T168" s="33">
        <f>(F168-SUM(G168:P168))*0.45</f>
        <v>55589.858999999997</v>
      </c>
      <c r="U168" s="33"/>
      <c r="V168" s="33"/>
      <c r="W168" s="33"/>
      <c r="X168" s="33"/>
      <c r="Y168" s="33"/>
      <c r="Z168" s="96">
        <f t="shared" si="107"/>
        <v>293709.82000000007</v>
      </c>
      <c r="AD168" s="59">
        <f t="shared" si="102"/>
        <v>293709.82000000007</v>
      </c>
      <c r="AF168" s="59">
        <f t="shared" si="103"/>
        <v>0</v>
      </c>
    </row>
    <row r="169" spans="1:32" ht="46.95" customHeight="1" x14ac:dyDescent="0.3">
      <c r="A169" s="29" t="s">
        <v>405</v>
      </c>
      <c r="B169" s="21" t="s">
        <v>123</v>
      </c>
      <c r="C169" s="44"/>
      <c r="D169" s="40"/>
      <c r="E169" s="67"/>
      <c r="F169" s="40">
        <f t="shared" ref="F169:Y169" si="128">SUM(F170:F172)</f>
        <v>1472645.72</v>
      </c>
      <c r="G169" s="84">
        <v>0</v>
      </c>
      <c r="H169" s="84">
        <v>0</v>
      </c>
      <c r="I169" s="84">
        <v>0</v>
      </c>
      <c r="J169" s="84">
        <v>0</v>
      </c>
      <c r="K169" s="84">
        <v>0</v>
      </c>
      <c r="L169" s="84">
        <v>0</v>
      </c>
      <c r="M169" s="84">
        <v>0</v>
      </c>
      <c r="N169" s="84">
        <v>0</v>
      </c>
      <c r="O169" s="84">
        <v>0</v>
      </c>
      <c r="P169" s="84">
        <f t="shared" si="128"/>
        <v>0</v>
      </c>
      <c r="Q169" s="35">
        <f t="shared" si="128"/>
        <v>0</v>
      </c>
      <c r="R169" s="35">
        <f t="shared" si="128"/>
        <v>0</v>
      </c>
      <c r="S169" s="35">
        <f t="shared" si="128"/>
        <v>0</v>
      </c>
      <c r="T169" s="35">
        <f t="shared" si="128"/>
        <v>0</v>
      </c>
      <c r="U169" s="35">
        <f t="shared" si="128"/>
        <v>1418320.98</v>
      </c>
      <c r="V169" s="35">
        <f t="shared" si="128"/>
        <v>54324.74</v>
      </c>
      <c r="W169" s="35">
        <f t="shared" si="128"/>
        <v>0</v>
      </c>
      <c r="X169" s="35">
        <f t="shared" si="128"/>
        <v>0</v>
      </c>
      <c r="Y169" s="35">
        <f t="shared" si="128"/>
        <v>0</v>
      </c>
      <c r="Z169" s="97">
        <f t="shared" si="107"/>
        <v>1472645.72</v>
      </c>
      <c r="AD169" s="59">
        <f t="shared" si="102"/>
        <v>1472645.72</v>
      </c>
      <c r="AF169" s="59">
        <f t="shared" si="103"/>
        <v>0</v>
      </c>
    </row>
    <row r="170" spans="1:32" ht="46.95" customHeight="1" x14ac:dyDescent="0.3">
      <c r="A170" s="26" t="s">
        <v>406</v>
      </c>
      <c r="B170" s="17" t="s">
        <v>124</v>
      </c>
      <c r="C170" s="22" t="s">
        <v>28</v>
      </c>
      <c r="D170" s="38">
        <v>17811.39</v>
      </c>
      <c r="E170" s="39">
        <v>10.31</v>
      </c>
      <c r="F170" s="38">
        <v>183635.43</v>
      </c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33"/>
      <c r="R170" s="33"/>
      <c r="S170" s="33"/>
      <c r="T170" s="33"/>
      <c r="U170" s="33">
        <f>$F$170</f>
        <v>183635.43</v>
      </c>
      <c r="V170" s="33"/>
      <c r="W170" s="33"/>
      <c r="X170" s="33"/>
      <c r="Y170" s="33"/>
      <c r="Z170" s="96">
        <f t="shared" si="107"/>
        <v>183635.43</v>
      </c>
      <c r="AD170" s="59">
        <f t="shared" si="102"/>
        <v>183635.43</v>
      </c>
      <c r="AF170" s="59">
        <f t="shared" si="103"/>
        <v>0</v>
      </c>
    </row>
    <row r="171" spans="1:32" ht="46.95" customHeight="1" x14ac:dyDescent="0.3">
      <c r="A171" s="71" t="s">
        <v>407</v>
      </c>
      <c r="B171" s="17" t="s">
        <v>385</v>
      </c>
      <c r="C171" s="22" t="s">
        <v>28</v>
      </c>
      <c r="D171" s="38">
        <v>17811.39</v>
      </c>
      <c r="E171" s="39">
        <v>69.319999999999993</v>
      </c>
      <c r="F171" s="38">
        <f>ROUND(D171*E171,2)</f>
        <v>1234685.55</v>
      </c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33"/>
      <c r="R171" s="33"/>
      <c r="S171" s="33"/>
      <c r="T171" s="33"/>
      <c r="U171" s="33">
        <f>$F$171</f>
        <v>1234685.55</v>
      </c>
      <c r="V171" s="33"/>
      <c r="W171" s="33"/>
      <c r="X171" s="33"/>
      <c r="Y171" s="33"/>
      <c r="Z171" s="96">
        <f t="shared" si="107"/>
        <v>1234685.55</v>
      </c>
      <c r="AD171" s="59">
        <f t="shared" si="102"/>
        <v>1234685.55</v>
      </c>
      <c r="AF171" s="59">
        <f t="shared" si="103"/>
        <v>0</v>
      </c>
    </row>
    <row r="172" spans="1:32" ht="46.95" customHeight="1" x14ac:dyDescent="0.3">
      <c r="A172" s="26" t="s">
        <v>408</v>
      </c>
      <c r="B172" s="17" t="s">
        <v>387</v>
      </c>
      <c r="C172" s="22" t="s">
        <v>28</v>
      </c>
      <c r="D172" s="38">
        <v>17811.39</v>
      </c>
      <c r="E172" s="39">
        <v>3.05</v>
      </c>
      <c r="F172" s="38">
        <v>54324.74</v>
      </c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33"/>
      <c r="R172" s="33"/>
      <c r="S172" s="33"/>
      <c r="T172" s="33"/>
      <c r="U172" s="2"/>
      <c r="V172" s="33">
        <f>$F$172</f>
        <v>54324.74</v>
      </c>
      <c r="W172" s="33"/>
      <c r="X172" s="33"/>
      <c r="Y172" s="33"/>
      <c r="Z172" s="96">
        <f t="shared" si="107"/>
        <v>54324.74</v>
      </c>
      <c r="AD172" s="59">
        <f t="shared" si="102"/>
        <v>54324.74</v>
      </c>
      <c r="AF172" s="59">
        <f t="shared" si="103"/>
        <v>0</v>
      </c>
    </row>
    <row r="173" spans="1:32" ht="46.95" customHeight="1" x14ac:dyDescent="0.3">
      <c r="A173" s="29" t="s">
        <v>409</v>
      </c>
      <c r="B173" s="21" t="s">
        <v>67</v>
      </c>
      <c r="C173" s="22"/>
      <c r="D173" s="38"/>
      <c r="E173" s="39"/>
      <c r="F173" s="40">
        <f t="shared" ref="F173:Y173" si="129">SUM(F174:F175)</f>
        <v>6195.67</v>
      </c>
      <c r="G173" s="84">
        <v>0</v>
      </c>
      <c r="H173" s="84">
        <v>0</v>
      </c>
      <c r="I173" s="84">
        <v>0</v>
      </c>
      <c r="J173" s="84">
        <v>0</v>
      </c>
      <c r="K173" s="84">
        <v>0</v>
      </c>
      <c r="L173" s="84">
        <v>0</v>
      </c>
      <c r="M173" s="84">
        <v>0</v>
      </c>
      <c r="N173" s="84">
        <v>0</v>
      </c>
      <c r="O173" s="84">
        <v>0</v>
      </c>
      <c r="P173" s="84">
        <f t="shared" si="129"/>
        <v>1126.49</v>
      </c>
      <c r="Q173" s="35">
        <f t="shared" si="129"/>
        <v>0</v>
      </c>
      <c r="R173" s="35">
        <f t="shared" si="129"/>
        <v>0</v>
      </c>
      <c r="S173" s="35">
        <f t="shared" si="129"/>
        <v>0</v>
      </c>
      <c r="T173" s="35">
        <f t="shared" si="129"/>
        <v>0</v>
      </c>
      <c r="U173" s="35">
        <f t="shared" si="129"/>
        <v>5069.18</v>
      </c>
      <c r="V173" s="35">
        <f t="shared" si="129"/>
        <v>0</v>
      </c>
      <c r="W173" s="35">
        <f t="shared" si="129"/>
        <v>0</v>
      </c>
      <c r="X173" s="35">
        <f t="shared" si="129"/>
        <v>0</v>
      </c>
      <c r="Y173" s="35">
        <f t="shared" si="129"/>
        <v>0</v>
      </c>
      <c r="Z173" s="97">
        <f t="shared" si="107"/>
        <v>6195.67</v>
      </c>
      <c r="AD173" s="59">
        <f t="shared" si="102"/>
        <v>6195.67</v>
      </c>
      <c r="AF173" s="59">
        <f t="shared" si="103"/>
        <v>0</v>
      </c>
    </row>
    <row r="174" spans="1:32" ht="46.95" customHeight="1" x14ac:dyDescent="0.3">
      <c r="A174" s="26" t="s">
        <v>410</v>
      </c>
      <c r="B174" s="17" t="s">
        <v>125</v>
      </c>
      <c r="C174" s="22" t="s">
        <v>37</v>
      </c>
      <c r="D174" s="38">
        <v>11</v>
      </c>
      <c r="E174" s="39">
        <v>373.38</v>
      </c>
      <c r="F174" s="38">
        <v>4107.18</v>
      </c>
      <c r="G174" s="83"/>
      <c r="H174" s="83"/>
      <c r="I174" s="83"/>
      <c r="J174" s="83"/>
      <c r="K174" s="83"/>
      <c r="L174" s="83"/>
      <c r="M174" s="83"/>
      <c r="N174" s="83"/>
      <c r="O174" s="83"/>
      <c r="P174" s="83">
        <v>746.76</v>
      </c>
      <c r="Q174" s="33"/>
      <c r="R174" s="33"/>
      <c r="S174" s="33"/>
      <c r="T174" s="33"/>
      <c r="U174" s="33">
        <f>$F$174-P174</f>
        <v>3360.42</v>
      </c>
      <c r="V174" s="33"/>
      <c r="W174" s="33"/>
      <c r="X174" s="33"/>
      <c r="Y174" s="33"/>
      <c r="Z174" s="96">
        <f t="shared" si="107"/>
        <v>4107.18</v>
      </c>
      <c r="AD174" s="59">
        <f t="shared" si="102"/>
        <v>4107.18</v>
      </c>
      <c r="AF174" s="59">
        <f t="shared" si="103"/>
        <v>0</v>
      </c>
    </row>
    <row r="175" spans="1:32" s="14" customFormat="1" ht="46.95" customHeight="1" x14ac:dyDescent="0.3">
      <c r="A175" s="26" t="s">
        <v>411</v>
      </c>
      <c r="B175" s="17" t="s">
        <v>391</v>
      </c>
      <c r="C175" s="22" t="s">
        <v>86</v>
      </c>
      <c r="D175" s="38">
        <v>303.56</v>
      </c>
      <c r="E175" s="39">
        <v>6.88</v>
      </c>
      <c r="F175" s="38">
        <f>ROUND(D175*E175,2)</f>
        <v>2088.4899999999998</v>
      </c>
      <c r="G175" s="83"/>
      <c r="H175" s="83"/>
      <c r="I175" s="83"/>
      <c r="J175" s="83"/>
      <c r="K175" s="83"/>
      <c r="L175" s="83"/>
      <c r="M175" s="83"/>
      <c r="N175" s="83"/>
      <c r="O175" s="83"/>
      <c r="P175" s="83">
        <v>379.73</v>
      </c>
      <c r="Q175" s="33"/>
      <c r="R175" s="33"/>
      <c r="S175" s="33"/>
      <c r="T175" s="33"/>
      <c r="U175" s="33">
        <f>$F$175-P175</f>
        <v>1708.7599999999998</v>
      </c>
      <c r="V175" s="33"/>
      <c r="W175" s="33"/>
      <c r="X175" s="33"/>
      <c r="Y175" s="33"/>
      <c r="Z175" s="96">
        <f t="shared" si="107"/>
        <v>2088.4899999999998</v>
      </c>
      <c r="AA175" s="13"/>
      <c r="AD175" s="59">
        <f t="shared" si="102"/>
        <v>2088.4899999999998</v>
      </c>
      <c r="AF175" s="59">
        <f t="shared" si="103"/>
        <v>0</v>
      </c>
    </row>
    <row r="176" spans="1:32" ht="46.95" customHeight="1" x14ac:dyDescent="0.3">
      <c r="A176" s="28" t="s">
        <v>412</v>
      </c>
      <c r="B176" s="19" t="s">
        <v>129</v>
      </c>
      <c r="C176" s="42"/>
      <c r="D176" s="36"/>
      <c r="E176" s="39"/>
      <c r="F176" s="46">
        <f t="shared" ref="F176:Y176" si="130">F177</f>
        <v>304852.75999999995</v>
      </c>
      <c r="G176" s="81">
        <v>0</v>
      </c>
      <c r="H176" s="81">
        <v>0</v>
      </c>
      <c r="I176" s="81">
        <v>0</v>
      </c>
      <c r="J176" s="81">
        <v>0</v>
      </c>
      <c r="K176" s="81">
        <v>0</v>
      </c>
      <c r="L176" s="81">
        <v>0</v>
      </c>
      <c r="M176" s="81">
        <v>0</v>
      </c>
      <c r="N176" s="81">
        <v>0</v>
      </c>
      <c r="O176" s="81">
        <v>0</v>
      </c>
      <c r="P176" s="81">
        <f t="shared" si="130"/>
        <v>0</v>
      </c>
      <c r="Q176" s="60">
        <f t="shared" si="130"/>
        <v>0</v>
      </c>
      <c r="R176" s="60">
        <f t="shared" si="130"/>
        <v>0</v>
      </c>
      <c r="S176" s="60">
        <f t="shared" si="130"/>
        <v>0</v>
      </c>
      <c r="T176" s="60">
        <f t="shared" si="130"/>
        <v>0</v>
      </c>
      <c r="U176" s="60">
        <f t="shared" si="130"/>
        <v>0</v>
      </c>
      <c r="V176" s="60">
        <f t="shared" si="130"/>
        <v>91322.180000000008</v>
      </c>
      <c r="W176" s="60">
        <f t="shared" si="130"/>
        <v>69648.27</v>
      </c>
      <c r="X176" s="60">
        <f t="shared" si="130"/>
        <v>69648.27</v>
      </c>
      <c r="Y176" s="60">
        <f t="shared" si="130"/>
        <v>74234.040000000008</v>
      </c>
      <c r="Z176" s="94">
        <f t="shared" si="107"/>
        <v>304852.76</v>
      </c>
      <c r="AD176" s="59">
        <f t="shared" si="102"/>
        <v>304852.76</v>
      </c>
      <c r="AF176" s="59">
        <f t="shared" si="103"/>
        <v>0</v>
      </c>
    </row>
    <row r="177" spans="1:32" ht="46.95" customHeight="1" x14ac:dyDescent="0.3">
      <c r="A177" s="27" t="s">
        <v>413</v>
      </c>
      <c r="B177" s="18" t="s">
        <v>130</v>
      </c>
      <c r="C177" s="43"/>
      <c r="D177" s="37"/>
      <c r="E177" s="67"/>
      <c r="F177" s="37">
        <f t="shared" ref="F177:Y177" si="131">SUM(F178:F185)</f>
        <v>304852.75999999995</v>
      </c>
      <c r="G177" s="82">
        <v>0</v>
      </c>
      <c r="H177" s="82">
        <v>0</v>
      </c>
      <c r="I177" s="82">
        <v>0</v>
      </c>
      <c r="J177" s="82">
        <v>0</v>
      </c>
      <c r="K177" s="82">
        <v>0</v>
      </c>
      <c r="L177" s="82">
        <v>0</v>
      </c>
      <c r="M177" s="82">
        <v>0</v>
      </c>
      <c r="N177" s="82">
        <v>0</v>
      </c>
      <c r="O177" s="82">
        <v>0</v>
      </c>
      <c r="P177" s="82">
        <f t="shared" si="131"/>
        <v>0</v>
      </c>
      <c r="Q177" s="32">
        <f t="shared" si="131"/>
        <v>0</v>
      </c>
      <c r="R177" s="32">
        <f t="shared" si="131"/>
        <v>0</v>
      </c>
      <c r="S177" s="32">
        <f t="shared" si="131"/>
        <v>0</v>
      </c>
      <c r="T177" s="32">
        <f t="shared" si="131"/>
        <v>0</v>
      </c>
      <c r="U177" s="32">
        <f>SUM(U178:U185)</f>
        <v>0</v>
      </c>
      <c r="V177" s="32">
        <f t="shared" ref="V177:X177" si="132">SUM(V178:V185)</f>
        <v>91322.180000000008</v>
      </c>
      <c r="W177" s="32">
        <f t="shared" si="132"/>
        <v>69648.27</v>
      </c>
      <c r="X177" s="32">
        <f t="shared" si="132"/>
        <v>69648.27</v>
      </c>
      <c r="Y177" s="32">
        <f t="shared" si="131"/>
        <v>74234.040000000008</v>
      </c>
      <c r="Z177" s="95">
        <f t="shared" si="107"/>
        <v>304852.76</v>
      </c>
      <c r="AD177" s="59">
        <f t="shared" si="102"/>
        <v>304852.76</v>
      </c>
      <c r="AF177" s="59">
        <f t="shared" si="103"/>
        <v>0</v>
      </c>
    </row>
    <row r="178" spans="1:32" s="14" customFormat="1" ht="46.95" customHeight="1" x14ac:dyDescent="0.3">
      <c r="A178" s="26" t="s">
        <v>414</v>
      </c>
      <c r="B178" s="17" t="s">
        <v>131</v>
      </c>
      <c r="C178" s="22" t="s">
        <v>37</v>
      </c>
      <c r="D178" s="38">
        <v>40</v>
      </c>
      <c r="E178" s="39">
        <v>349.63</v>
      </c>
      <c r="F178" s="38">
        <v>13985.2</v>
      </c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33"/>
      <c r="R178" s="33"/>
      <c r="S178" s="33"/>
      <c r="T178" s="33"/>
      <c r="U178" s="33"/>
      <c r="V178" s="33">
        <f>F178</f>
        <v>13985.2</v>
      </c>
      <c r="W178" s="33"/>
      <c r="X178" s="70"/>
      <c r="Y178" s="70"/>
      <c r="Z178" s="96">
        <f>SUM(G178:W178)</f>
        <v>13985.2</v>
      </c>
      <c r="AA178" s="13"/>
      <c r="AD178" s="59">
        <f t="shared" si="102"/>
        <v>13985.2</v>
      </c>
      <c r="AF178" s="59">
        <f t="shared" si="103"/>
        <v>0</v>
      </c>
    </row>
    <row r="179" spans="1:32" ht="46.95" customHeight="1" x14ac:dyDescent="0.3">
      <c r="A179" s="26" t="s">
        <v>415</v>
      </c>
      <c r="B179" s="17" t="s">
        <v>132</v>
      </c>
      <c r="C179" s="22" t="s">
        <v>37</v>
      </c>
      <c r="D179" s="38">
        <v>38</v>
      </c>
      <c r="E179" s="39">
        <v>322.02999999999997</v>
      </c>
      <c r="F179" s="38">
        <v>12237.14</v>
      </c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33"/>
      <c r="R179" s="33"/>
      <c r="S179" s="33"/>
      <c r="T179" s="33"/>
      <c r="U179" s="33"/>
      <c r="V179" s="33">
        <f>F179</f>
        <v>12237.14</v>
      </c>
      <c r="W179" s="33"/>
      <c r="X179" s="2"/>
      <c r="Y179" s="2"/>
      <c r="Z179" s="96">
        <f>SUM(G179:W179)</f>
        <v>12237.14</v>
      </c>
      <c r="AD179" s="59">
        <f t="shared" si="102"/>
        <v>12237.14</v>
      </c>
      <c r="AF179" s="59">
        <f t="shared" si="103"/>
        <v>0</v>
      </c>
    </row>
    <row r="180" spans="1:32" ht="46.95" customHeight="1" x14ac:dyDescent="0.3">
      <c r="A180" s="26" t="s">
        <v>416</v>
      </c>
      <c r="B180" s="17" t="s">
        <v>133</v>
      </c>
      <c r="C180" s="22" t="s">
        <v>37</v>
      </c>
      <c r="D180" s="38">
        <v>56</v>
      </c>
      <c r="E180" s="39">
        <v>322.02999999999997</v>
      </c>
      <c r="F180" s="38">
        <v>18033.68</v>
      </c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33"/>
      <c r="R180" s="33"/>
      <c r="S180" s="33"/>
      <c r="T180" s="33"/>
      <c r="U180" s="33"/>
      <c r="V180" s="33">
        <f>F180</f>
        <v>18033.68</v>
      </c>
      <c r="W180" s="33"/>
      <c r="X180" s="2"/>
      <c r="Y180" s="2"/>
      <c r="Z180" s="96">
        <f>SUM(G180:W180)</f>
        <v>18033.68</v>
      </c>
      <c r="AD180" s="59">
        <f t="shared" si="102"/>
        <v>18033.68</v>
      </c>
      <c r="AF180" s="59">
        <f t="shared" si="103"/>
        <v>0</v>
      </c>
    </row>
    <row r="181" spans="1:32" ht="46.95" customHeight="1" x14ac:dyDescent="0.3">
      <c r="A181" s="26" t="s">
        <v>417</v>
      </c>
      <c r="B181" s="17" t="s">
        <v>134</v>
      </c>
      <c r="C181" s="22" t="s">
        <v>37</v>
      </c>
      <c r="D181" s="38">
        <v>134</v>
      </c>
      <c r="E181" s="39">
        <v>351.24</v>
      </c>
      <c r="F181" s="38">
        <v>47066.16</v>
      </c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33"/>
      <c r="R181" s="33"/>
      <c r="S181" s="33"/>
      <c r="T181" s="33"/>
      <c r="U181" s="33"/>
      <c r="V181" s="86">
        <f>$F$181</f>
        <v>47066.16</v>
      </c>
      <c r="W181" s="33"/>
      <c r="X181" s="2"/>
      <c r="Y181" s="2"/>
      <c r="Z181" s="96">
        <f>SUM(G181:W181)</f>
        <v>47066.16</v>
      </c>
      <c r="AD181" s="59">
        <f t="shared" si="102"/>
        <v>47066.16</v>
      </c>
      <c r="AF181" s="59">
        <f t="shared" si="103"/>
        <v>0</v>
      </c>
    </row>
    <row r="182" spans="1:32" ht="46.95" customHeight="1" x14ac:dyDescent="0.3">
      <c r="A182" s="26" t="s">
        <v>418</v>
      </c>
      <c r="B182" s="17" t="s">
        <v>135</v>
      </c>
      <c r="C182" s="22" t="s">
        <v>28</v>
      </c>
      <c r="D182" s="38">
        <v>1167.51</v>
      </c>
      <c r="E182" s="39">
        <v>54.49</v>
      </c>
      <c r="F182" s="39">
        <v>63617.62</v>
      </c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34"/>
      <c r="R182" s="34"/>
      <c r="S182" s="34"/>
      <c r="T182" s="34"/>
      <c r="U182" s="34"/>
      <c r="V182" s="2"/>
      <c r="W182" s="34">
        <f>$F$182/3</f>
        <v>21205.873333333333</v>
      </c>
      <c r="X182" s="34">
        <f>$F$182/3</f>
        <v>21205.873333333333</v>
      </c>
      <c r="Y182" s="34">
        <f>$F$182/3</f>
        <v>21205.873333333333</v>
      </c>
      <c r="Z182" s="98">
        <f>SUM(G182:X182)</f>
        <v>42411.746666666666</v>
      </c>
      <c r="AD182" s="59">
        <f t="shared" si="102"/>
        <v>63617.619999999995</v>
      </c>
      <c r="AF182" s="59">
        <f t="shared" si="103"/>
        <v>0</v>
      </c>
    </row>
    <row r="183" spans="1:32" ht="46.95" customHeight="1" x14ac:dyDescent="0.3">
      <c r="A183" s="26" t="s">
        <v>419</v>
      </c>
      <c r="B183" s="17" t="s">
        <v>136</v>
      </c>
      <c r="C183" s="22" t="s">
        <v>32</v>
      </c>
      <c r="D183" s="38">
        <v>17509.3</v>
      </c>
      <c r="E183" s="39">
        <v>8.3000000000000007</v>
      </c>
      <c r="F183" s="39">
        <v>145327.19</v>
      </c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34"/>
      <c r="R183" s="34"/>
      <c r="S183" s="34"/>
      <c r="T183" s="34"/>
      <c r="U183" s="34"/>
      <c r="V183" s="2"/>
      <c r="W183" s="34">
        <f>$F$183/3</f>
        <v>48442.396666666667</v>
      </c>
      <c r="X183" s="34">
        <f>$F$183/3</f>
        <v>48442.396666666667</v>
      </c>
      <c r="Y183" s="34">
        <f>$F$183/3</f>
        <v>48442.396666666667</v>
      </c>
      <c r="Z183" s="98">
        <f>SUM(G183:X183)</f>
        <v>96884.793333333335</v>
      </c>
      <c r="AD183" s="59">
        <f t="shared" si="102"/>
        <v>145327.19</v>
      </c>
      <c r="AF183" s="59">
        <f t="shared" si="103"/>
        <v>0</v>
      </c>
    </row>
    <row r="184" spans="1:32" ht="46.95" customHeight="1" x14ac:dyDescent="0.3">
      <c r="A184" s="26" t="s">
        <v>420</v>
      </c>
      <c r="B184" s="17" t="s">
        <v>137</v>
      </c>
      <c r="C184" s="22" t="s">
        <v>28</v>
      </c>
      <c r="D184" s="38">
        <v>111.28</v>
      </c>
      <c r="E184" s="39">
        <v>14.82</v>
      </c>
      <c r="F184" s="39">
        <v>1649.17</v>
      </c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34"/>
      <c r="R184" s="34"/>
      <c r="S184" s="34"/>
      <c r="T184" s="34"/>
      <c r="U184" s="34"/>
      <c r="V184" s="87"/>
      <c r="W184" s="2"/>
      <c r="X184" s="34"/>
      <c r="Y184" s="34">
        <f>F184</f>
        <v>1649.17</v>
      </c>
      <c r="Z184" s="98">
        <f>SUM(G184:Y184)</f>
        <v>1649.17</v>
      </c>
      <c r="AD184" s="59">
        <f t="shared" si="102"/>
        <v>1649.17</v>
      </c>
      <c r="AF184" s="59">
        <f t="shared" si="103"/>
        <v>0</v>
      </c>
    </row>
    <row r="185" spans="1:32" ht="46.95" customHeight="1" x14ac:dyDescent="0.3">
      <c r="A185" s="26" t="s">
        <v>421</v>
      </c>
      <c r="B185" s="17" t="s">
        <v>138</v>
      </c>
      <c r="C185" s="22" t="s">
        <v>37</v>
      </c>
      <c r="D185" s="38">
        <v>20</v>
      </c>
      <c r="E185" s="39">
        <v>146.83000000000001</v>
      </c>
      <c r="F185" s="38">
        <v>2936.6</v>
      </c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33"/>
      <c r="R185" s="33"/>
      <c r="S185" s="33"/>
      <c r="T185" s="33"/>
      <c r="U185" s="33"/>
      <c r="V185" s="33"/>
      <c r="W185" s="2"/>
      <c r="X185" s="34"/>
      <c r="Y185" s="34">
        <f>F185</f>
        <v>2936.6</v>
      </c>
      <c r="Z185" s="98">
        <f>SUM(G185:Y185)</f>
        <v>2936.6</v>
      </c>
      <c r="AD185" s="59">
        <f t="shared" si="102"/>
        <v>2936.6</v>
      </c>
      <c r="AF185" s="59">
        <f t="shared" si="103"/>
        <v>0</v>
      </c>
    </row>
    <row r="186" spans="1:32" ht="46.95" customHeight="1" x14ac:dyDescent="0.3">
      <c r="A186" s="28" t="s">
        <v>422</v>
      </c>
      <c r="B186" s="19" t="s">
        <v>139</v>
      </c>
      <c r="C186" s="42"/>
      <c r="D186" s="36"/>
      <c r="E186" s="39"/>
      <c r="F186" s="46">
        <f t="shared" ref="F186:Y186" si="133">F187+F190+F222</f>
        <v>5759471.8300000001</v>
      </c>
      <c r="G186" s="81">
        <v>0</v>
      </c>
      <c r="H186" s="81">
        <v>0</v>
      </c>
      <c r="I186" s="81">
        <v>0</v>
      </c>
      <c r="J186" s="81">
        <v>0</v>
      </c>
      <c r="K186" s="81">
        <v>0</v>
      </c>
      <c r="L186" s="81">
        <v>0</v>
      </c>
      <c r="M186" s="81">
        <v>0</v>
      </c>
      <c r="N186" s="81">
        <v>0</v>
      </c>
      <c r="O186" s="81">
        <v>61884.149999999994</v>
      </c>
      <c r="P186" s="81">
        <f t="shared" si="133"/>
        <v>12029.19</v>
      </c>
      <c r="Q186" s="60">
        <f t="shared" si="133"/>
        <v>2113.5285000000003</v>
      </c>
      <c r="R186" s="60">
        <f t="shared" si="133"/>
        <v>2113.5285000000003</v>
      </c>
      <c r="S186" s="60">
        <f t="shared" si="133"/>
        <v>30410.513000000003</v>
      </c>
      <c r="T186" s="60">
        <f t="shared" si="133"/>
        <v>354945.42833333334</v>
      </c>
      <c r="U186" s="60">
        <f t="shared" si="133"/>
        <v>1158627.1633333333</v>
      </c>
      <c r="V186" s="60">
        <f t="shared" si="133"/>
        <v>903756.62833333341</v>
      </c>
      <c r="W186" s="60">
        <f t="shared" si="133"/>
        <v>1280546.6000000001</v>
      </c>
      <c r="X186" s="60">
        <f t="shared" si="133"/>
        <v>1313723.2</v>
      </c>
      <c r="Y186" s="60">
        <f t="shared" si="133"/>
        <v>639321.9</v>
      </c>
      <c r="Z186" s="94">
        <f t="shared" si="107"/>
        <v>5759471.8300000001</v>
      </c>
      <c r="AD186" s="59">
        <f t="shared" si="102"/>
        <v>5759471.8300000001</v>
      </c>
      <c r="AF186" s="59">
        <f t="shared" si="103"/>
        <v>0</v>
      </c>
    </row>
    <row r="187" spans="1:32" ht="46.95" customHeight="1" x14ac:dyDescent="0.3">
      <c r="A187" s="27" t="s">
        <v>423</v>
      </c>
      <c r="B187" s="18" t="s">
        <v>140</v>
      </c>
      <c r="C187" s="43"/>
      <c r="D187" s="37"/>
      <c r="E187" s="67"/>
      <c r="F187" s="37">
        <f t="shared" ref="F187:Y187" si="134">SUM(F188:F189)</f>
        <v>3196609.5</v>
      </c>
      <c r="G187" s="82">
        <v>0</v>
      </c>
      <c r="H187" s="82">
        <v>0</v>
      </c>
      <c r="I187" s="82">
        <v>0</v>
      </c>
      <c r="J187" s="82">
        <v>0</v>
      </c>
      <c r="K187" s="82">
        <v>0</v>
      </c>
      <c r="L187" s="82">
        <v>0</v>
      </c>
      <c r="M187" s="82">
        <v>0</v>
      </c>
      <c r="N187" s="82">
        <v>0</v>
      </c>
      <c r="O187" s="82">
        <v>0</v>
      </c>
      <c r="P187" s="82">
        <f t="shared" si="134"/>
        <v>0</v>
      </c>
      <c r="Q187" s="32">
        <f t="shared" si="134"/>
        <v>0</v>
      </c>
      <c r="R187" s="32">
        <f t="shared" si="134"/>
        <v>0</v>
      </c>
      <c r="S187" s="32">
        <f t="shared" si="134"/>
        <v>0</v>
      </c>
      <c r="T187" s="32">
        <f t="shared" si="134"/>
        <v>0</v>
      </c>
      <c r="U187" s="32">
        <f t="shared" si="134"/>
        <v>639321.9</v>
      </c>
      <c r="V187" s="32">
        <f t="shared" si="134"/>
        <v>639321.9</v>
      </c>
      <c r="W187" s="32">
        <f t="shared" si="134"/>
        <v>639321.9</v>
      </c>
      <c r="X187" s="32">
        <f t="shared" si="134"/>
        <v>639321.9</v>
      </c>
      <c r="Y187" s="32">
        <f t="shared" si="134"/>
        <v>639321.9</v>
      </c>
      <c r="Z187" s="95">
        <f t="shared" si="107"/>
        <v>3196609.5</v>
      </c>
      <c r="AD187" s="59">
        <f t="shared" si="102"/>
        <v>3196609.5</v>
      </c>
      <c r="AF187" s="59">
        <f t="shared" si="103"/>
        <v>0</v>
      </c>
    </row>
    <row r="188" spans="1:32" ht="46.95" customHeight="1" x14ac:dyDescent="0.3">
      <c r="A188" s="26" t="s">
        <v>424</v>
      </c>
      <c r="B188" s="17" t="s">
        <v>141</v>
      </c>
      <c r="C188" s="22" t="s">
        <v>37</v>
      </c>
      <c r="D188" s="38">
        <v>38</v>
      </c>
      <c r="E188" s="39">
        <v>22033.89</v>
      </c>
      <c r="F188" s="38">
        <v>837287.82</v>
      </c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33"/>
      <c r="R188" s="33"/>
      <c r="S188" s="33"/>
      <c r="T188" s="33"/>
      <c r="U188" s="33">
        <f>$F$188/5</f>
        <v>167457.56399999998</v>
      </c>
      <c r="V188" s="33">
        <f t="shared" ref="V188:Y188" si="135">$F$188/5</f>
        <v>167457.56399999998</v>
      </c>
      <c r="W188" s="33">
        <f t="shared" si="135"/>
        <v>167457.56399999998</v>
      </c>
      <c r="X188" s="33">
        <f t="shared" si="135"/>
        <v>167457.56399999998</v>
      </c>
      <c r="Y188" s="33">
        <f t="shared" si="135"/>
        <v>167457.56399999998</v>
      </c>
      <c r="Z188" s="96">
        <f t="shared" si="107"/>
        <v>837287.82</v>
      </c>
      <c r="AD188" s="59">
        <f t="shared" si="102"/>
        <v>837287.82</v>
      </c>
      <c r="AF188" s="59">
        <f t="shared" si="103"/>
        <v>0</v>
      </c>
    </row>
    <row r="189" spans="1:32" ht="46.95" customHeight="1" x14ac:dyDescent="0.3">
      <c r="A189" s="26" t="s">
        <v>425</v>
      </c>
      <c r="B189" s="17" t="s">
        <v>142</v>
      </c>
      <c r="C189" s="22" t="s">
        <v>37</v>
      </c>
      <c r="D189" s="38">
        <v>232</v>
      </c>
      <c r="E189" s="39">
        <v>10169.49</v>
      </c>
      <c r="F189" s="38">
        <f>ROUND(D189*E189,2)</f>
        <v>2359321.6800000002</v>
      </c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33"/>
      <c r="R189" s="33"/>
      <c r="S189" s="33"/>
      <c r="T189" s="33"/>
      <c r="U189" s="33">
        <f>$F$189/5</f>
        <v>471864.33600000001</v>
      </c>
      <c r="V189" s="33">
        <f t="shared" ref="V189:Y189" si="136">$F$189/5</f>
        <v>471864.33600000001</v>
      </c>
      <c r="W189" s="33">
        <f t="shared" si="136"/>
        <v>471864.33600000001</v>
      </c>
      <c r="X189" s="33">
        <f t="shared" si="136"/>
        <v>471864.33600000001</v>
      </c>
      <c r="Y189" s="33">
        <f t="shared" si="136"/>
        <v>471864.33600000001</v>
      </c>
      <c r="Z189" s="96">
        <f t="shared" si="107"/>
        <v>2359321.6800000002</v>
      </c>
      <c r="AD189" s="59">
        <f t="shared" si="102"/>
        <v>2359321.6800000002</v>
      </c>
      <c r="AF189" s="59">
        <f t="shared" si="103"/>
        <v>0</v>
      </c>
    </row>
    <row r="190" spans="1:32" ht="46.95" customHeight="1" x14ac:dyDescent="0.3">
      <c r="A190" s="27" t="s">
        <v>426</v>
      </c>
      <c r="B190" s="18" t="s">
        <v>143</v>
      </c>
      <c r="C190" s="43"/>
      <c r="D190" s="37"/>
      <c r="E190" s="67"/>
      <c r="F190" s="37">
        <f t="shared" ref="F190:Y190" si="137">F191+F193+F196+F200+F205+F214+F219</f>
        <v>704035.99</v>
      </c>
      <c r="G190" s="82">
        <v>0</v>
      </c>
      <c r="H190" s="82">
        <v>0</v>
      </c>
      <c r="I190" s="82">
        <v>0</v>
      </c>
      <c r="J190" s="82">
        <v>0</v>
      </c>
      <c r="K190" s="82">
        <v>0</v>
      </c>
      <c r="L190" s="82">
        <v>0</v>
      </c>
      <c r="M190" s="82">
        <v>0</v>
      </c>
      <c r="N190" s="82">
        <v>0</v>
      </c>
      <c r="O190" s="82">
        <v>61884.149999999994</v>
      </c>
      <c r="P190" s="82">
        <f t="shared" si="137"/>
        <v>12029.19</v>
      </c>
      <c r="Q190" s="32">
        <f t="shared" si="137"/>
        <v>2113.5285000000003</v>
      </c>
      <c r="R190" s="32">
        <f t="shared" si="137"/>
        <v>2113.5285000000003</v>
      </c>
      <c r="S190" s="32">
        <f t="shared" si="137"/>
        <v>30410.513000000003</v>
      </c>
      <c r="T190" s="32">
        <f t="shared" si="137"/>
        <v>34637.570000000007</v>
      </c>
      <c r="U190" s="32">
        <f t="shared" si="137"/>
        <v>198997.40500000003</v>
      </c>
      <c r="V190" s="32">
        <f t="shared" si="137"/>
        <v>26004.065000000002</v>
      </c>
      <c r="W190" s="32">
        <f t="shared" si="137"/>
        <v>151334.72</v>
      </c>
      <c r="X190" s="32">
        <f t="shared" si="137"/>
        <v>184511.32</v>
      </c>
      <c r="Y190" s="32">
        <f t="shared" si="137"/>
        <v>0</v>
      </c>
      <c r="Z190" s="95">
        <f t="shared" si="107"/>
        <v>704035.99</v>
      </c>
      <c r="AD190" s="59">
        <f t="shared" si="102"/>
        <v>704035.99</v>
      </c>
      <c r="AF190" s="59">
        <f t="shared" si="103"/>
        <v>0</v>
      </c>
    </row>
    <row r="191" spans="1:32" ht="46.95" customHeight="1" x14ac:dyDescent="0.3">
      <c r="A191" s="29" t="s">
        <v>427</v>
      </c>
      <c r="B191" s="21" t="s">
        <v>72</v>
      </c>
      <c r="C191" s="44"/>
      <c r="D191" s="40"/>
      <c r="E191" s="67"/>
      <c r="F191" s="40">
        <f t="shared" ref="F191:Y191" si="138">SUM(F192)</f>
        <v>16262.53</v>
      </c>
      <c r="G191" s="84">
        <v>0</v>
      </c>
      <c r="H191" s="84">
        <v>0</v>
      </c>
      <c r="I191" s="84">
        <v>0</v>
      </c>
      <c r="J191" s="84">
        <v>0</v>
      </c>
      <c r="K191" s="84">
        <v>0</v>
      </c>
      <c r="L191" s="84">
        <v>0</v>
      </c>
      <c r="M191" s="84">
        <v>0</v>
      </c>
      <c r="N191" s="84">
        <v>0</v>
      </c>
      <c r="O191" s="84">
        <v>7788.2</v>
      </c>
      <c r="P191" s="84">
        <f t="shared" si="138"/>
        <v>480.11</v>
      </c>
      <c r="Q191" s="35">
        <f t="shared" si="138"/>
        <v>399.71100000000007</v>
      </c>
      <c r="R191" s="35">
        <f t="shared" si="138"/>
        <v>399.71100000000007</v>
      </c>
      <c r="S191" s="35">
        <f t="shared" si="138"/>
        <v>3197.6880000000006</v>
      </c>
      <c r="T191" s="35">
        <f t="shared" si="138"/>
        <v>3997.1100000000006</v>
      </c>
      <c r="U191" s="35">
        <f t="shared" si="138"/>
        <v>0</v>
      </c>
      <c r="V191" s="35">
        <f t="shared" si="138"/>
        <v>0</v>
      </c>
      <c r="W191" s="35">
        <f t="shared" si="138"/>
        <v>0</v>
      </c>
      <c r="X191" s="35">
        <f t="shared" si="138"/>
        <v>0</v>
      </c>
      <c r="Y191" s="35">
        <f t="shared" si="138"/>
        <v>0</v>
      </c>
      <c r="Z191" s="97">
        <f t="shared" si="107"/>
        <v>16262.529999999999</v>
      </c>
      <c r="AD191" s="59">
        <f t="shared" si="102"/>
        <v>16262.529999999999</v>
      </c>
      <c r="AF191" s="59">
        <f t="shared" si="103"/>
        <v>0</v>
      </c>
    </row>
    <row r="192" spans="1:32" ht="46.95" customHeight="1" x14ac:dyDescent="0.3">
      <c r="A192" s="26" t="s">
        <v>428</v>
      </c>
      <c r="B192" s="17" t="s">
        <v>144</v>
      </c>
      <c r="C192" s="22" t="s">
        <v>47</v>
      </c>
      <c r="D192" s="38">
        <v>262.85000000000002</v>
      </c>
      <c r="E192" s="39">
        <v>61.87</v>
      </c>
      <c r="F192" s="38">
        <f>ROUND(D192*E192,2)</f>
        <v>16262.53</v>
      </c>
      <c r="G192" s="83"/>
      <c r="H192" s="83"/>
      <c r="I192" s="83"/>
      <c r="J192" s="83"/>
      <c r="K192" s="83"/>
      <c r="L192" s="83"/>
      <c r="M192" s="83"/>
      <c r="N192" s="83"/>
      <c r="O192" s="83">
        <v>7788.2</v>
      </c>
      <c r="P192" s="83">
        <v>480.11</v>
      </c>
      <c r="Q192" s="33">
        <f t="shared" ref="Q192" si="139">(F192-SUM(G192:P192))*0.05</f>
        <v>399.71100000000007</v>
      </c>
      <c r="R192" s="33">
        <f t="shared" ref="R192" si="140">(F192-SUM(G192:P192))*0.05</f>
        <v>399.71100000000007</v>
      </c>
      <c r="S192" s="33">
        <f>(F192-SUM(G192:P192))*0.4</f>
        <v>3197.6880000000006</v>
      </c>
      <c r="T192" s="33">
        <f t="shared" ref="T192" si="141">(F192-SUM(G192:P192))*0.5</f>
        <v>3997.1100000000006</v>
      </c>
      <c r="U192" s="33"/>
      <c r="V192" s="33"/>
      <c r="W192" s="33"/>
      <c r="X192" s="33"/>
      <c r="Y192" s="33"/>
      <c r="Z192" s="96">
        <f t="shared" si="107"/>
        <v>16262.529999999999</v>
      </c>
      <c r="AD192" s="59">
        <f t="shared" si="102"/>
        <v>16262.529999999999</v>
      </c>
      <c r="AF192" s="59">
        <f t="shared" si="103"/>
        <v>0</v>
      </c>
    </row>
    <row r="193" spans="1:32" ht="46.95" customHeight="1" x14ac:dyDescent="0.3">
      <c r="A193" s="29" t="s">
        <v>429</v>
      </c>
      <c r="B193" s="21" t="s">
        <v>145</v>
      </c>
      <c r="C193" s="44"/>
      <c r="D193" s="40"/>
      <c r="E193" s="67"/>
      <c r="F193" s="40">
        <f t="shared" ref="F193:Y193" si="142">SUM(F194:F195)</f>
        <v>16608.71</v>
      </c>
      <c r="G193" s="84">
        <v>0</v>
      </c>
      <c r="H193" s="84">
        <v>0</v>
      </c>
      <c r="I193" s="84">
        <v>0</v>
      </c>
      <c r="J193" s="84">
        <v>0</v>
      </c>
      <c r="K193" s="84">
        <v>0</v>
      </c>
      <c r="L193" s="84">
        <v>0</v>
      </c>
      <c r="M193" s="84">
        <v>0</v>
      </c>
      <c r="N193" s="84">
        <v>0</v>
      </c>
      <c r="O193" s="84">
        <v>7954.04</v>
      </c>
      <c r="P193" s="84">
        <f t="shared" si="142"/>
        <v>490.34000000000003</v>
      </c>
      <c r="Q193" s="35">
        <f t="shared" si="142"/>
        <v>408.21650000000005</v>
      </c>
      <c r="R193" s="35">
        <f t="shared" si="142"/>
        <v>408.21650000000005</v>
      </c>
      <c r="S193" s="35">
        <f t="shared" si="142"/>
        <v>3265.7320000000004</v>
      </c>
      <c r="T193" s="35">
        <f t="shared" si="142"/>
        <v>4082.1650000000004</v>
      </c>
      <c r="U193" s="35">
        <f t="shared" si="142"/>
        <v>0</v>
      </c>
      <c r="V193" s="35">
        <f t="shared" si="142"/>
        <v>0</v>
      </c>
      <c r="W193" s="35">
        <f t="shared" si="142"/>
        <v>0</v>
      </c>
      <c r="X193" s="35">
        <f t="shared" si="142"/>
        <v>0</v>
      </c>
      <c r="Y193" s="35">
        <f t="shared" si="142"/>
        <v>0</v>
      </c>
      <c r="Z193" s="97">
        <f t="shared" si="107"/>
        <v>16608.71</v>
      </c>
      <c r="AD193" s="59">
        <f t="shared" si="102"/>
        <v>16608.71</v>
      </c>
      <c r="AF193" s="59">
        <f t="shared" si="103"/>
        <v>0</v>
      </c>
    </row>
    <row r="194" spans="1:32" ht="46.95" customHeight="1" x14ac:dyDescent="0.3">
      <c r="A194" s="26" t="s">
        <v>430</v>
      </c>
      <c r="B194" s="17" t="s">
        <v>46</v>
      </c>
      <c r="C194" s="22" t="s">
        <v>47</v>
      </c>
      <c r="D194" s="38">
        <v>328.56</v>
      </c>
      <c r="E194" s="39">
        <v>17.84</v>
      </c>
      <c r="F194" s="38">
        <f t="shared" ref="F194:F195" si="143">ROUND(D194*E194,2)</f>
        <v>5861.51</v>
      </c>
      <c r="G194" s="83"/>
      <c r="H194" s="83"/>
      <c r="I194" s="83"/>
      <c r="J194" s="83"/>
      <c r="K194" s="83"/>
      <c r="L194" s="83"/>
      <c r="M194" s="83"/>
      <c r="N194" s="83"/>
      <c r="O194" s="83">
        <v>2807.12</v>
      </c>
      <c r="P194" s="83">
        <v>173.05</v>
      </c>
      <c r="Q194" s="33">
        <f t="shared" ref="Q194" si="144">(F194-SUM(G194:P194))*0.05</f>
        <v>144.06700000000001</v>
      </c>
      <c r="R194" s="33">
        <f t="shared" ref="R194" si="145">(F194-SUM(G194:P194))*0.05</f>
        <v>144.06700000000001</v>
      </c>
      <c r="S194" s="33">
        <f>(F194-SUM(G194:P194))*0.4</f>
        <v>1152.5360000000001</v>
      </c>
      <c r="T194" s="33">
        <f t="shared" ref="T194" si="146">(F194-SUM(G194:P194))*0.5</f>
        <v>1440.67</v>
      </c>
      <c r="U194" s="33"/>
      <c r="V194" s="33"/>
      <c r="W194" s="33"/>
      <c r="X194" s="33"/>
      <c r="Y194" s="33"/>
      <c r="Z194" s="96">
        <f t="shared" si="107"/>
        <v>5861.51</v>
      </c>
      <c r="AD194" s="59">
        <f t="shared" si="102"/>
        <v>5861.51</v>
      </c>
      <c r="AF194" s="59">
        <f t="shared" si="103"/>
        <v>0</v>
      </c>
    </row>
    <row r="195" spans="1:32" ht="46.95" customHeight="1" x14ac:dyDescent="0.3">
      <c r="A195" s="26" t="s">
        <v>431</v>
      </c>
      <c r="B195" s="30" t="s">
        <v>55</v>
      </c>
      <c r="C195" s="22" t="s">
        <v>47</v>
      </c>
      <c r="D195" s="38">
        <v>328.56</v>
      </c>
      <c r="E195" s="39">
        <v>32.71</v>
      </c>
      <c r="F195" s="38">
        <f t="shared" si="143"/>
        <v>10747.2</v>
      </c>
      <c r="G195" s="83"/>
      <c r="H195" s="83"/>
      <c r="I195" s="83"/>
      <c r="J195" s="83"/>
      <c r="K195" s="83"/>
      <c r="L195" s="83"/>
      <c r="M195" s="83"/>
      <c r="N195" s="83"/>
      <c r="O195" s="83">
        <v>5146.92</v>
      </c>
      <c r="P195" s="83">
        <v>317.29000000000002</v>
      </c>
      <c r="Q195" s="33">
        <f t="shared" ref="Q194:Q195" si="147">(F195-SUM(G195:P195))*0.05</f>
        <v>264.14950000000005</v>
      </c>
      <c r="R195" s="33">
        <f t="shared" ref="R194:R195" si="148">(F195-SUM(G195:P195))*0.05</f>
        <v>264.14950000000005</v>
      </c>
      <c r="S195" s="33">
        <f>(F195-SUM(G195:P195))*0.4</f>
        <v>2113.1960000000004</v>
      </c>
      <c r="T195" s="33">
        <f t="shared" ref="T194:T195" si="149">(F195-SUM(G195:P195))*0.5</f>
        <v>2641.4950000000003</v>
      </c>
      <c r="U195" s="33"/>
      <c r="V195" s="33"/>
      <c r="W195" s="33"/>
      <c r="X195" s="33"/>
      <c r="Y195" s="33"/>
      <c r="Z195" s="96">
        <f t="shared" si="107"/>
        <v>10747.200000000003</v>
      </c>
      <c r="AD195" s="59">
        <f t="shared" si="102"/>
        <v>10747.200000000003</v>
      </c>
      <c r="AF195" s="59">
        <f t="shared" si="103"/>
        <v>0</v>
      </c>
    </row>
    <row r="196" spans="1:32" ht="46.95" customHeight="1" x14ac:dyDescent="0.3">
      <c r="A196" s="29" t="s">
        <v>432</v>
      </c>
      <c r="B196" s="21" t="s">
        <v>146</v>
      </c>
      <c r="C196" s="44"/>
      <c r="D196" s="40"/>
      <c r="E196" s="67"/>
      <c r="F196" s="40">
        <f t="shared" ref="F196:Y196" si="150">SUM(F197:F199)</f>
        <v>40973</v>
      </c>
      <c r="G196" s="84">
        <v>0</v>
      </c>
      <c r="H196" s="84">
        <v>0</v>
      </c>
      <c r="I196" s="84">
        <v>0</v>
      </c>
      <c r="J196" s="84">
        <v>0</v>
      </c>
      <c r="K196" s="84">
        <v>0</v>
      </c>
      <c r="L196" s="84">
        <v>0</v>
      </c>
      <c r="M196" s="84">
        <v>0</v>
      </c>
      <c r="N196" s="84">
        <v>0</v>
      </c>
      <c r="O196" s="84">
        <v>7806.49</v>
      </c>
      <c r="P196" s="84">
        <f t="shared" si="150"/>
        <v>7054.4900000000007</v>
      </c>
      <c r="Q196" s="35">
        <f t="shared" si="150"/>
        <v>1305.6010000000001</v>
      </c>
      <c r="R196" s="35">
        <f t="shared" si="150"/>
        <v>1305.6010000000001</v>
      </c>
      <c r="S196" s="35">
        <f t="shared" si="150"/>
        <v>10444.808000000001</v>
      </c>
      <c r="T196" s="35">
        <f t="shared" si="150"/>
        <v>13056.010000000002</v>
      </c>
      <c r="U196" s="35">
        <f t="shared" si="150"/>
        <v>0</v>
      </c>
      <c r="V196" s="35">
        <f t="shared" si="150"/>
        <v>0</v>
      </c>
      <c r="W196" s="35">
        <f t="shared" si="150"/>
        <v>0</v>
      </c>
      <c r="X196" s="35">
        <f t="shared" si="150"/>
        <v>0</v>
      </c>
      <c r="Y196" s="35">
        <f t="shared" si="150"/>
        <v>0</v>
      </c>
      <c r="Z196" s="97">
        <f t="shared" si="107"/>
        <v>40973</v>
      </c>
      <c r="AD196" s="59">
        <f t="shared" ref="AD196:AD258" si="151">SUM(G196:Y196)</f>
        <v>40973</v>
      </c>
      <c r="AF196" s="59">
        <f t="shared" ref="AF196:AF258" si="152">F196-AD196</f>
        <v>0</v>
      </c>
    </row>
    <row r="197" spans="1:32" ht="46.95" customHeight="1" x14ac:dyDescent="0.3">
      <c r="A197" s="26" t="s">
        <v>433</v>
      </c>
      <c r="B197" s="17" t="s">
        <v>434</v>
      </c>
      <c r="C197" s="22" t="s">
        <v>47</v>
      </c>
      <c r="D197" s="38">
        <v>45.41</v>
      </c>
      <c r="E197" s="39">
        <v>397.11</v>
      </c>
      <c r="F197" s="38">
        <f t="shared" ref="F197:F199" si="153">ROUND(D197*E197,2)</f>
        <v>18032.77</v>
      </c>
      <c r="G197" s="83"/>
      <c r="H197" s="83"/>
      <c r="I197" s="83"/>
      <c r="J197" s="83"/>
      <c r="K197" s="83"/>
      <c r="L197" s="83"/>
      <c r="M197" s="83"/>
      <c r="N197" s="83"/>
      <c r="O197" s="83">
        <v>3670.73</v>
      </c>
      <c r="P197" s="83">
        <v>3474.16</v>
      </c>
      <c r="Q197" s="33">
        <f t="shared" ref="Q197" si="154">(F197-SUM(G197:P197))*0.05</f>
        <v>544.39400000000012</v>
      </c>
      <c r="R197" s="33">
        <f t="shared" ref="R197" si="155">(F197-SUM(G197:P197))*0.05</f>
        <v>544.39400000000012</v>
      </c>
      <c r="S197" s="33">
        <f>(F197-SUM(G197:P197))*0.4</f>
        <v>4355.152000000001</v>
      </c>
      <c r="T197" s="33">
        <f t="shared" ref="T197" si="156">(F197-SUM(G197:P197))*0.5</f>
        <v>5443.9400000000005</v>
      </c>
      <c r="U197" s="33"/>
      <c r="V197" s="33"/>
      <c r="W197" s="33"/>
      <c r="X197" s="33"/>
      <c r="Y197" s="33"/>
      <c r="Z197" s="96">
        <f t="shared" si="107"/>
        <v>18032.770000000004</v>
      </c>
      <c r="AD197" s="59">
        <f t="shared" si="151"/>
        <v>18032.770000000004</v>
      </c>
      <c r="AF197" s="59">
        <f t="shared" si="152"/>
        <v>0</v>
      </c>
    </row>
    <row r="198" spans="1:32" ht="46.95" customHeight="1" x14ac:dyDescent="0.3">
      <c r="A198" s="26" t="s">
        <v>435</v>
      </c>
      <c r="B198" s="17" t="s">
        <v>147</v>
      </c>
      <c r="C198" s="22" t="s">
        <v>28</v>
      </c>
      <c r="D198" s="38">
        <v>220.62</v>
      </c>
      <c r="E198" s="39">
        <v>75.13</v>
      </c>
      <c r="F198" s="38">
        <f t="shared" si="153"/>
        <v>16575.18</v>
      </c>
      <c r="G198" s="83"/>
      <c r="H198" s="83"/>
      <c r="I198" s="83"/>
      <c r="J198" s="83"/>
      <c r="K198" s="83"/>
      <c r="L198" s="83"/>
      <c r="M198" s="83"/>
      <c r="N198" s="83"/>
      <c r="O198" s="83">
        <v>3062.6</v>
      </c>
      <c r="P198" s="83">
        <v>2781.61</v>
      </c>
      <c r="Q198" s="33">
        <f t="shared" ref="Q197:Q198" si="157">(F198-SUM(G198:P198))*0.05</f>
        <v>536.5485000000001</v>
      </c>
      <c r="R198" s="33">
        <f t="shared" ref="R197:R198" si="158">(F198-SUM(G198:P198))*0.05</f>
        <v>536.5485000000001</v>
      </c>
      <c r="S198" s="33">
        <f>(F198-SUM(G198:P198))*0.4</f>
        <v>4292.3880000000008</v>
      </c>
      <c r="T198" s="33">
        <f t="shared" ref="T197:T198" si="159">(F198-SUM(G198:P198))*0.5</f>
        <v>5365.4850000000006</v>
      </c>
      <c r="U198" s="33"/>
      <c r="V198" s="33"/>
      <c r="W198" s="33"/>
      <c r="X198" s="33"/>
      <c r="Y198" s="33"/>
      <c r="Z198" s="96">
        <f t="shared" si="107"/>
        <v>16575.18</v>
      </c>
      <c r="AD198" s="59">
        <f t="shared" si="151"/>
        <v>16575.18</v>
      </c>
      <c r="AF198" s="59">
        <f t="shared" si="152"/>
        <v>0</v>
      </c>
    </row>
    <row r="199" spans="1:32" ht="46.95" customHeight="1" x14ac:dyDescent="0.3">
      <c r="A199" s="26" t="s">
        <v>436</v>
      </c>
      <c r="B199" s="17" t="s">
        <v>148</v>
      </c>
      <c r="C199" s="22" t="s">
        <v>86</v>
      </c>
      <c r="D199" s="38">
        <v>1020.04</v>
      </c>
      <c r="E199" s="39">
        <v>6.24</v>
      </c>
      <c r="F199" s="38">
        <f t="shared" si="153"/>
        <v>6365.05</v>
      </c>
      <c r="G199" s="83"/>
      <c r="H199" s="83"/>
      <c r="I199" s="83"/>
      <c r="J199" s="83"/>
      <c r="K199" s="83"/>
      <c r="L199" s="83"/>
      <c r="M199" s="83"/>
      <c r="N199" s="83"/>
      <c r="O199" s="83">
        <v>1073.1600000000001</v>
      </c>
      <c r="P199" s="83">
        <v>798.72</v>
      </c>
      <c r="Q199" s="33">
        <f t="shared" ref="Q197:Q199" si="160">(F199-SUM(G199:P199))*0.05</f>
        <v>224.6585</v>
      </c>
      <c r="R199" s="33">
        <f t="shared" ref="R197:R199" si="161">(F199-SUM(G199:P199))*0.05</f>
        <v>224.6585</v>
      </c>
      <c r="S199" s="33">
        <f>(F199-SUM(G199:P199))*0.4</f>
        <v>1797.268</v>
      </c>
      <c r="T199" s="33">
        <f t="shared" ref="T197:T199" si="162">(F199-SUM(G199:P199))*0.5</f>
        <v>2246.585</v>
      </c>
      <c r="U199" s="33"/>
      <c r="V199" s="33"/>
      <c r="W199" s="33"/>
      <c r="X199" s="33"/>
      <c r="Y199" s="33"/>
      <c r="Z199" s="96">
        <f t="shared" si="107"/>
        <v>6365.05</v>
      </c>
      <c r="AD199" s="59">
        <f t="shared" si="151"/>
        <v>6365.05</v>
      </c>
      <c r="AF199" s="59">
        <f t="shared" si="152"/>
        <v>0</v>
      </c>
    </row>
    <row r="200" spans="1:32" ht="46.95" customHeight="1" x14ac:dyDescent="0.3">
      <c r="A200" s="29" t="s">
        <v>437</v>
      </c>
      <c r="B200" s="21" t="s">
        <v>149</v>
      </c>
      <c r="C200" s="44"/>
      <c r="D200" s="40"/>
      <c r="E200" s="67"/>
      <c r="F200" s="40">
        <f t="shared" ref="F200:Y200" si="163">SUM(F201:F204)</f>
        <v>176997.59000000003</v>
      </c>
      <c r="G200" s="84">
        <v>0</v>
      </c>
      <c r="H200" s="84">
        <v>0</v>
      </c>
      <c r="I200" s="84">
        <v>0</v>
      </c>
      <c r="J200" s="84">
        <v>0</v>
      </c>
      <c r="K200" s="84">
        <v>0</v>
      </c>
      <c r="L200" s="84">
        <v>0</v>
      </c>
      <c r="M200" s="84">
        <v>0</v>
      </c>
      <c r="N200" s="84">
        <v>0</v>
      </c>
      <c r="O200" s="84">
        <v>0</v>
      </c>
      <c r="P200" s="84">
        <f t="shared" si="163"/>
        <v>4004.25</v>
      </c>
      <c r="Q200" s="35">
        <f t="shared" si="163"/>
        <v>0</v>
      </c>
      <c r="R200" s="35">
        <f t="shared" si="163"/>
        <v>0</v>
      </c>
      <c r="S200" s="35">
        <f t="shared" si="163"/>
        <v>0</v>
      </c>
      <c r="T200" s="35">
        <f t="shared" si="163"/>
        <v>0</v>
      </c>
      <c r="U200" s="35">
        <f t="shared" si="163"/>
        <v>172993.34000000003</v>
      </c>
      <c r="V200" s="35">
        <f t="shared" si="163"/>
        <v>0</v>
      </c>
      <c r="W200" s="35">
        <f t="shared" si="163"/>
        <v>0</v>
      </c>
      <c r="X200" s="35">
        <f t="shared" si="163"/>
        <v>0</v>
      </c>
      <c r="Y200" s="35">
        <f t="shared" si="163"/>
        <v>0</v>
      </c>
      <c r="Z200" s="97">
        <f t="shared" si="107"/>
        <v>176997.59000000003</v>
      </c>
      <c r="AD200" s="59">
        <f t="shared" si="151"/>
        <v>176997.59000000003</v>
      </c>
      <c r="AF200" s="59">
        <f t="shared" si="152"/>
        <v>0</v>
      </c>
    </row>
    <row r="201" spans="1:32" ht="46.95" customHeight="1" x14ac:dyDescent="0.3">
      <c r="A201" s="26" t="s">
        <v>438</v>
      </c>
      <c r="B201" s="17" t="s">
        <v>150</v>
      </c>
      <c r="C201" s="22" t="s">
        <v>37</v>
      </c>
      <c r="D201" s="38">
        <v>13</v>
      </c>
      <c r="E201" s="39">
        <v>11280.53</v>
      </c>
      <c r="F201" s="38">
        <f>ROUND(D201*E201,2)</f>
        <v>146646.89000000001</v>
      </c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33"/>
      <c r="R201" s="33"/>
      <c r="S201" s="33"/>
      <c r="T201" s="2"/>
      <c r="U201" s="33">
        <f>$F$201</f>
        <v>146646.89000000001</v>
      </c>
      <c r="V201" s="33"/>
      <c r="W201" s="33"/>
      <c r="X201" s="33"/>
      <c r="Y201" s="33"/>
      <c r="Z201" s="96">
        <f t="shared" si="107"/>
        <v>146646.89000000001</v>
      </c>
      <c r="AD201" s="59">
        <f t="shared" si="151"/>
        <v>146646.89000000001</v>
      </c>
      <c r="AF201" s="59">
        <f t="shared" si="152"/>
        <v>0</v>
      </c>
    </row>
    <row r="202" spans="1:32" ht="46.95" customHeight="1" x14ac:dyDescent="0.3">
      <c r="A202" s="26" t="s">
        <v>439</v>
      </c>
      <c r="B202" s="17" t="s">
        <v>151</v>
      </c>
      <c r="C202" s="22" t="s">
        <v>37</v>
      </c>
      <c r="D202" s="38">
        <v>3</v>
      </c>
      <c r="E202" s="39">
        <v>957.75</v>
      </c>
      <c r="F202" s="38">
        <f t="shared" ref="F202:F204" si="164">ROUND(D202*E202,2)</f>
        <v>2873.25</v>
      </c>
      <c r="G202" s="83"/>
      <c r="H202" s="83"/>
      <c r="I202" s="83"/>
      <c r="J202" s="83"/>
      <c r="K202" s="83"/>
      <c r="L202" s="83"/>
      <c r="M202" s="83"/>
      <c r="N202" s="83"/>
      <c r="O202" s="83"/>
      <c r="P202" s="83">
        <v>957.75</v>
      </c>
      <c r="Q202" s="33"/>
      <c r="R202" s="33"/>
      <c r="S202" s="33"/>
      <c r="T202" s="2"/>
      <c r="U202" s="33">
        <f>$F$202-P202</f>
        <v>1915.5</v>
      </c>
      <c r="V202" s="33"/>
      <c r="W202" s="88"/>
      <c r="X202" s="33"/>
      <c r="Y202" s="33"/>
      <c r="Z202" s="96">
        <f t="shared" si="107"/>
        <v>2873.25</v>
      </c>
      <c r="AD202" s="59">
        <f t="shared" si="151"/>
        <v>2873.25</v>
      </c>
      <c r="AF202" s="59">
        <f t="shared" si="152"/>
        <v>0</v>
      </c>
    </row>
    <row r="203" spans="1:32" ht="46.95" customHeight="1" x14ac:dyDescent="0.3">
      <c r="A203" s="26" t="s">
        <v>440</v>
      </c>
      <c r="B203" s="17" t="s">
        <v>152</v>
      </c>
      <c r="C203" s="22" t="s">
        <v>37</v>
      </c>
      <c r="D203" s="38">
        <v>24</v>
      </c>
      <c r="E203" s="39">
        <v>609.29999999999995</v>
      </c>
      <c r="F203" s="38">
        <f t="shared" si="164"/>
        <v>14623.2</v>
      </c>
      <c r="G203" s="83"/>
      <c r="H203" s="83"/>
      <c r="I203" s="83"/>
      <c r="J203" s="83"/>
      <c r="K203" s="83"/>
      <c r="L203" s="83"/>
      <c r="M203" s="83"/>
      <c r="N203" s="83"/>
      <c r="O203" s="83"/>
      <c r="P203" s="83">
        <v>3046.5</v>
      </c>
      <c r="Q203" s="33"/>
      <c r="R203" s="33"/>
      <c r="S203" s="33"/>
      <c r="T203" s="2"/>
      <c r="U203" s="33">
        <f>$F$203-P203</f>
        <v>11576.7</v>
      </c>
      <c r="V203" s="33"/>
      <c r="W203" s="88"/>
      <c r="X203" s="33"/>
      <c r="Y203" s="33"/>
      <c r="Z203" s="96">
        <f t="shared" si="107"/>
        <v>14623.2</v>
      </c>
      <c r="AD203" s="59">
        <f t="shared" si="151"/>
        <v>14623.2</v>
      </c>
      <c r="AF203" s="59">
        <f t="shared" si="152"/>
        <v>0</v>
      </c>
    </row>
    <row r="204" spans="1:32" ht="46.95" customHeight="1" x14ac:dyDescent="0.3">
      <c r="A204" s="26" t="s">
        <v>441</v>
      </c>
      <c r="B204" s="17" t="s">
        <v>153</v>
      </c>
      <c r="C204" s="22" t="s">
        <v>37</v>
      </c>
      <c r="D204" s="38">
        <v>1</v>
      </c>
      <c r="E204" s="39">
        <v>12854.25</v>
      </c>
      <c r="F204" s="38">
        <f t="shared" si="164"/>
        <v>12854.25</v>
      </c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33"/>
      <c r="R204" s="33"/>
      <c r="S204" s="33"/>
      <c r="T204" s="2"/>
      <c r="U204" s="33">
        <f t="shared" ref="U204:V204" si="165">$F$204</f>
        <v>12854.25</v>
      </c>
      <c r="V204" s="33"/>
      <c r="X204" s="33"/>
      <c r="Y204" s="33"/>
      <c r="Z204" s="96">
        <f t="shared" ref="Z204:Z267" si="166">SUM(G204:Y204)</f>
        <v>12854.25</v>
      </c>
      <c r="AD204" s="59">
        <f t="shared" si="151"/>
        <v>12854.25</v>
      </c>
      <c r="AF204" s="59">
        <f t="shared" si="152"/>
        <v>0</v>
      </c>
    </row>
    <row r="205" spans="1:32" ht="46.95" customHeight="1" x14ac:dyDescent="0.3">
      <c r="A205" s="29" t="s">
        <v>442</v>
      </c>
      <c r="B205" s="21" t="s">
        <v>154</v>
      </c>
      <c r="C205" s="44"/>
      <c r="D205" s="40"/>
      <c r="E205" s="67"/>
      <c r="F205" s="40">
        <f t="shared" ref="F205:Y205" si="167">SUM(F206:F213)</f>
        <v>203342.84999999998</v>
      </c>
      <c r="G205" s="84">
        <v>0</v>
      </c>
      <c r="H205" s="84">
        <v>0</v>
      </c>
      <c r="I205" s="84">
        <v>0</v>
      </c>
      <c r="J205" s="84">
        <v>0</v>
      </c>
      <c r="K205" s="84">
        <v>0</v>
      </c>
      <c r="L205" s="84">
        <v>0</v>
      </c>
      <c r="M205" s="84">
        <v>0</v>
      </c>
      <c r="N205" s="84">
        <v>0</v>
      </c>
      <c r="O205" s="84">
        <v>0</v>
      </c>
      <c r="P205" s="84">
        <f t="shared" si="167"/>
        <v>0</v>
      </c>
      <c r="Q205" s="35">
        <f t="shared" si="167"/>
        <v>0</v>
      </c>
      <c r="R205" s="35">
        <f t="shared" si="167"/>
        <v>0</v>
      </c>
      <c r="S205" s="35">
        <f t="shared" si="167"/>
        <v>0</v>
      </c>
      <c r="T205" s="35">
        <f t="shared" si="167"/>
        <v>0</v>
      </c>
      <c r="U205" s="35">
        <f t="shared" si="167"/>
        <v>26004.065000000002</v>
      </c>
      <c r="V205" s="35">
        <f t="shared" si="167"/>
        <v>26004.065000000002</v>
      </c>
      <c r="W205" s="35">
        <f>SUM(W206:W213)</f>
        <v>151334.72</v>
      </c>
      <c r="X205" s="35">
        <f>SUM(X206:X213)</f>
        <v>0</v>
      </c>
      <c r="Y205" s="35">
        <f t="shared" si="167"/>
        <v>0</v>
      </c>
      <c r="Z205" s="97">
        <f t="shared" si="166"/>
        <v>203342.85</v>
      </c>
      <c r="AD205" s="59">
        <f t="shared" si="151"/>
        <v>203342.85</v>
      </c>
      <c r="AF205" s="59">
        <f t="shared" si="152"/>
        <v>0</v>
      </c>
    </row>
    <row r="206" spans="1:32" ht="46.95" customHeight="1" x14ac:dyDescent="0.3">
      <c r="A206" s="26" t="s">
        <v>443</v>
      </c>
      <c r="B206" s="17" t="s">
        <v>155</v>
      </c>
      <c r="C206" s="22" t="s">
        <v>32</v>
      </c>
      <c r="D206" s="38">
        <v>1720</v>
      </c>
      <c r="E206" s="39">
        <v>15.86</v>
      </c>
      <c r="F206" s="38">
        <f t="shared" ref="F206:F213" si="168">ROUND(D206*E206,2)</f>
        <v>27279.200000000001</v>
      </c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33"/>
      <c r="R206" s="33"/>
      <c r="S206" s="33"/>
      <c r="T206" s="33"/>
      <c r="U206" s="2"/>
      <c r="V206" s="33"/>
      <c r="W206" s="33">
        <f>$F$206</f>
        <v>27279.200000000001</v>
      </c>
      <c r="X206" s="2"/>
      <c r="Y206" s="33"/>
      <c r="Z206" s="96">
        <f t="shared" si="166"/>
        <v>27279.200000000001</v>
      </c>
      <c r="AD206" s="59">
        <f t="shared" si="151"/>
        <v>27279.200000000001</v>
      </c>
      <c r="AF206" s="59">
        <f t="shared" si="152"/>
        <v>0</v>
      </c>
    </row>
    <row r="207" spans="1:32" ht="46.95" customHeight="1" x14ac:dyDescent="0.3">
      <c r="A207" s="26" t="s">
        <v>444</v>
      </c>
      <c r="B207" s="17" t="s">
        <v>156</v>
      </c>
      <c r="C207" s="22" t="s">
        <v>32</v>
      </c>
      <c r="D207" s="38">
        <v>1720</v>
      </c>
      <c r="E207" s="39">
        <v>12.18</v>
      </c>
      <c r="F207" s="38">
        <f t="shared" si="168"/>
        <v>20949.599999999999</v>
      </c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33"/>
      <c r="R207" s="33"/>
      <c r="S207" s="33"/>
      <c r="T207" s="33"/>
      <c r="U207" s="2"/>
      <c r="V207" s="33"/>
      <c r="W207" s="33">
        <f>$F$207</f>
        <v>20949.599999999999</v>
      </c>
      <c r="X207" s="2"/>
      <c r="Y207" s="33"/>
      <c r="Z207" s="96">
        <f t="shared" si="166"/>
        <v>20949.599999999999</v>
      </c>
      <c r="AD207" s="59">
        <f t="shared" si="151"/>
        <v>20949.599999999999</v>
      </c>
      <c r="AF207" s="59">
        <f t="shared" si="152"/>
        <v>0</v>
      </c>
    </row>
    <row r="208" spans="1:32" ht="46.95" customHeight="1" x14ac:dyDescent="0.3">
      <c r="A208" s="26" t="s">
        <v>445</v>
      </c>
      <c r="B208" s="17" t="s">
        <v>157</v>
      </c>
      <c r="C208" s="22" t="s">
        <v>32</v>
      </c>
      <c r="D208" s="38">
        <v>1720</v>
      </c>
      <c r="E208" s="39">
        <v>13.63</v>
      </c>
      <c r="F208" s="38">
        <f t="shared" si="168"/>
        <v>23443.599999999999</v>
      </c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33"/>
      <c r="R208" s="33"/>
      <c r="S208" s="33"/>
      <c r="T208" s="33"/>
      <c r="U208" s="2"/>
      <c r="V208" s="33"/>
      <c r="W208" s="33">
        <f>$F$208</f>
        <v>23443.599999999999</v>
      </c>
      <c r="X208" s="2"/>
      <c r="Y208" s="33"/>
      <c r="Z208" s="96">
        <f t="shared" si="166"/>
        <v>23443.599999999999</v>
      </c>
      <c r="AD208" s="59">
        <f t="shared" si="151"/>
        <v>23443.599999999999</v>
      </c>
      <c r="AF208" s="59">
        <f t="shared" si="152"/>
        <v>0</v>
      </c>
    </row>
    <row r="209" spans="1:32" s="14" customFormat="1" ht="46.95" customHeight="1" x14ac:dyDescent="0.3">
      <c r="A209" s="26" t="s">
        <v>446</v>
      </c>
      <c r="B209" s="17" t="s">
        <v>158</v>
      </c>
      <c r="C209" s="22" t="s">
        <v>32</v>
      </c>
      <c r="D209" s="38">
        <v>290</v>
      </c>
      <c r="E209" s="39">
        <v>13.9</v>
      </c>
      <c r="F209" s="38">
        <f t="shared" si="168"/>
        <v>4031</v>
      </c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33"/>
      <c r="R209" s="33"/>
      <c r="S209" s="33"/>
      <c r="T209" s="33"/>
      <c r="U209" s="70"/>
      <c r="V209" s="33"/>
      <c r="W209" s="33">
        <f>$F$209</f>
        <v>4031</v>
      </c>
      <c r="X209" s="70"/>
      <c r="Y209" s="33"/>
      <c r="Z209" s="96">
        <f t="shared" si="166"/>
        <v>4031</v>
      </c>
      <c r="AA209" s="13"/>
      <c r="AD209" s="59">
        <f t="shared" si="151"/>
        <v>4031</v>
      </c>
      <c r="AF209" s="59">
        <f t="shared" si="152"/>
        <v>0</v>
      </c>
    </row>
    <row r="210" spans="1:32" ht="46.95" customHeight="1" x14ac:dyDescent="0.3">
      <c r="A210" s="26" t="s">
        <v>447</v>
      </c>
      <c r="B210" s="17" t="s">
        <v>159</v>
      </c>
      <c r="C210" s="22" t="s">
        <v>37</v>
      </c>
      <c r="D210" s="38">
        <v>41</v>
      </c>
      <c r="E210" s="39">
        <v>886.73</v>
      </c>
      <c r="F210" s="38">
        <f t="shared" si="168"/>
        <v>36355.93</v>
      </c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33"/>
      <c r="R210" s="33"/>
      <c r="S210" s="33"/>
      <c r="T210" s="33"/>
      <c r="U210" s="33">
        <f>$F$210/2</f>
        <v>18177.965</v>
      </c>
      <c r="V210" s="33">
        <f>$F$210/2</f>
        <v>18177.965</v>
      </c>
      <c r="W210" s="33"/>
      <c r="X210" s="2"/>
      <c r="Y210" s="33"/>
      <c r="Z210" s="96">
        <f t="shared" si="166"/>
        <v>36355.93</v>
      </c>
      <c r="AD210" s="59">
        <f t="shared" si="151"/>
        <v>36355.93</v>
      </c>
      <c r="AF210" s="59">
        <f t="shared" si="152"/>
        <v>0</v>
      </c>
    </row>
    <row r="211" spans="1:32" ht="46.95" customHeight="1" x14ac:dyDescent="0.3">
      <c r="A211" s="26" t="s">
        <v>448</v>
      </c>
      <c r="B211" s="17" t="s">
        <v>160</v>
      </c>
      <c r="C211" s="22" t="s">
        <v>32</v>
      </c>
      <c r="D211" s="38">
        <v>570</v>
      </c>
      <c r="E211" s="39">
        <v>27.46</v>
      </c>
      <c r="F211" s="38">
        <f t="shared" si="168"/>
        <v>15652.2</v>
      </c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33"/>
      <c r="R211" s="33"/>
      <c r="S211" s="33"/>
      <c r="T211" s="33"/>
      <c r="U211" s="33">
        <f>$F$211/2</f>
        <v>7826.1</v>
      </c>
      <c r="V211" s="33">
        <f>$F$211/2</f>
        <v>7826.1</v>
      </c>
      <c r="W211" s="33"/>
      <c r="X211" s="2"/>
      <c r="Y211" s="33"/>
      <c r="Z211" s="96">
        <f t="shared" si="166"/>
        <v>15652.2</v>
      </c>
      <c r="AD211" s="59">
        <f t="shared" si="151"/>
        <v>15652.2</v>
      </c>
      <c r="AF211" s="59">
        <f t="shared" si="152"/>
        <v>0</v>
      </c>
    </row>
    <row r="212" spans="1:32" ht="46.95" customHeight="1" x14ac:dyDescent="0.3">
      <c r="A212" s="26" t="s">
        <v>449</v>
      </c>
      <c r="B212" s="17" t="s">
        <v>161</v>
      </c>
      <c r="C212" s="22" t="s">
        <v>37</v>
      </c>
      <c r="D212" s="38">
        <v>6</v>
      </c>
      <c r="E212" s="39">
        <v>3855.22</v>
      </c>
      <c r="F212" s="38">
        <f t="shared" si="168"/>
        <v>23131.32</v>
      </c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33"/>
      <c r="R212" s="33"/>
      <c r="S212" s="33"/>
      <c r="T212" s="33"/>
      <c r="U212" s="33"/>
      <c r="V212" s="2"/>
      <c r="W212" s="33">
        <f>F212</f>
        <v>23131.32</v>
      </c>
      <c r="X212" s="2"/>
      <c r="Y212" s="33"/>
      <c r="Z212" s="96">
        <f t="shared" si="166"/>
        <v>23131.32</v>
      </c>
      <c r="AD212" s="59">
        <f t="shared" si="151"/>
        <v>23131.32</v>
      </c>
      <c r="AF212" s="59">
        <f t="shared" si="152"/>
        <v>0</v>
      </c>
    </row>
    <row r="213" spans="1:32" ht="46.95" customHeight="1" x14ac:dyDescent="0.3">
      <c r="A213" s="26" t="s">
        <v>450</v>
      </c>
      <c r="B213" s="17" t="s">
        <v>162</v>
      </c>
      <c r="C213" s="22" t="s">
        <v>37</v>
      </c>
      <c r="D213" s="38">
        <v>5</v>
      </c>
      <c r="E213" s="39">
        <v>10500</v>
      </c>
      <c r="F213" s="38">
        <f t="shared" si="168"/>
        <v>52500</v>
      </c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33"/>
      <c r="R213" s="33"/>
      <c r="S213" s="33"/>
      <c r="T213" s="33"/>
      <c r="U213" s="33"/>
      <c r="V213" s="2"/>
      <c r="W213" s="33">
        <f>F213</f>
        <v>52500</v>
      </c>
      <c r="X213" s="2"/>
      <c r="Y213" s="33"/>
      <c r="Z213" s="96">
        <f t="shared" si="166"/>
        <v>52500</v>
      </c>
      <c r="AD213" s="59">
        <f t="shared" si="151"/>
        <v>52500</v>
      </c>
      <c r="AF213" s="59">
        <f t="shared" si="152"/>
        <v>0</v>
      </c>
    </row>
    <row r="214" spans="1:32" ht="46.95" customHeight="1" x14ac:dyDescent="0.3">
      <c r="A214" s="29" t="s">
        <v>451</v>
      </c>
      <c r="B214" s="21" t="s">
        <v>163</v>
      </c>
      <c r="C214" s="44"/>
      <c r="D214" s="40"/>
      <c r="E214" s="67"/>
      <c r="F214" s="40">
        <f t="shared" ref="F214:Y214" si="169">SUM(F215:F218)</f>
        <v>165839.43</v>
      </c>
      <c r="G214" s="84">
        <v>0</v>
      </c>
      <c r="H214" s="84">
        <v>0</v>
      </c>
      <c r="I214" s="84">
        <v>0</v>
      </c>
      <c r="J214" s="84">
        <v>0</v>
      </c>
      <c r="K214" s="84">
        <v>0</v>
      </c>
      <c r="L214" s="84">
        <v>0</v>
      </c>
      <c r="M214" s="84">
        <v>0</v>
      </c>
      <c r="N214" s="84">
        <v>0</v>
      </c>
      <c r="O214" s="84">
        <v>0</v>
      </c>
      <c r="P214" s="84">
        <f t="shared" si="169"/>
        <v>0</v>
      </c>
      <c r="Q214" s="35">
        <f t="shared" si="169"/>
        <v>0</v>
      </c>
      <c r="R214" s="35">
        <f t="shared" si="169"/>
        <v>0</v>
      </c>
      <c r="S214" s="35">
        <f t="shared" si="169"/>
        <v>0</v>
      </c>
      <c r="T214" s="35">
        <f t="shared" si="169"/>
        <v>0</v>
      </c>
      <c r="U214" s="35">
        <f t="shared" si="169"/>
        <v>0</v>
      </c>
      <c r="V214" s="35">
        <f t="shared" si="169"/>
        <v>0</v>
      </c>
      <c r="W214" s="35">
        <f t="shared" si="169"/>
        <v>0</v>
      </c>
      <c r="X214" s="35">
        <f t="shared" si="169"/>
        <v>165839.43</v>
      </c>
      <c r="Y214" s="35">
        <f t="shared" si="169"/>
        <v>0</v>
      </c>
      <c r="Z214" s="97">
        <f t="shared" si="166"/>
        <v>165839.43</v>
      </c>
      <c r="AD214" s="59">
        <f t="shared" si="151"/>
        <v>165839.43</v>
      </c>
      <c r="AF214" s="59">
        <f t="shared" si="152"/>
        <v>0</v>
      </c>
    </row>
    <row r="215" spans="1:32" ht="46.95" customHeight="1" x14ac:dyDescent="0.3">
      <c r="A215" s="26" t="s">
        <v>452</v>
      </c>
      <c r="B215" s="17" t="s">
        <v>164</v>
      </c>
      <c r="C215" s="22" t="s">
        <v>37</v>
      </c>
      <c r="D215" s="38">
        <v>5</v>
      </c>
      <c r="E215" s="39">
        <v>7086.15</v>
      </c>
      <c r="F215" s="38">
        <f t="shared" ref="F215:F218" si="170">ROUND(D215*E215,2)</f>
        <v>35430.75</v>
      </c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33"/>
      <c r="R215" s="33"/>
      <c r="S215" s="33"/>
      <c r="T215" s="33"/>
      <c r="U215" s="33"/>
      <c r="V215" s="2"/>
      <c r="W215" s="2"/>
      <c r="X215" s="33">
        <f>$F$215</f>
        <v>35430.75</v>
      </c>
      <c r="Y215" s="33"/>
      <c r="Z215" s="96">
        <f t="shared" si="166"/>
        <v>35430.75</v>
      </c>
      <c r="AD215" s="59">
        <f t="shared" si="151"/>
        <v>35430.75</v>
      </c>
      <c r="AF215" s="59">
        <f t="shared" si="152"/>
        <v>0</v>
      </c>
    </row>
    <row r="216" spans="1:32" ht="46.95" customHeight="1" x14ac:dyDescent="0.3">
      <c r="A216" s="26" t="s">
        <v>453</v>
      </c>
      <c r="B216" s="17" t="s">
        <v>165</v>
      </c>
      <c r="C216" s="22" t="s">
        <v>37</v>
      </c>
      <c r="D216" s="38">
        <v>33</v>
      </c>
      <c r="E216" s="39">
        <v>1971.21</v>
      </c>
      <c r="F216" s="38">
        <f t="shared" si="170"/>
        <v>65049.93</v>
      </c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33"/>
      <c r="R216" s="33"/>
      <c r="S216" s="33"/>
      <c r="T216" s="33"/>
      <c r="U216" s="33"/>
      <c r="V216" s="2"/>
      <c r="W216" s="2"/>
      <c r="X216" s="33">
        <f>$F$216</f>
        <v>65049.93</v>
      </c>
      <c r="Y216" s="33"/>
      <c r="Z216" s="96">
        <f t="shared" si="166"/>
        <v>65049.93</v>
      </c>
      <c r="AD216" s="59">
        <f t="shared" si="151"/>
        <v>65049.93</v>
      </c>
      <c r="AF216" s="59">
        <f t="shared" si="152"/>
        <v>0</v>
      </c>
    </row>
    <row r="217" spans="1:32" ht="46.95" customHeight="1" x14ac:dyDescent="0.3">
      <c r="A217" s="26" t="s">
        <v>454</v>
      </c>
      <c r="B217" s="17" t="s">
        <v>166</v>
      </c>
      <c r="C217" s="22" t="s">
        <v>37</v>
      </c>
      <c r="D217" s="38">
        <v>24</v>
      </c>
      <c r="E217" s="39">
        <v>1578.5</v>
      </c>
      <c r="F217" s="38">
        <f t="shared" si="170"/>
        <v>37884</v>
      </c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33"/>
      <c r="R217" s="33"/>
      <c r="S217" s="33"/>
      <c r="T217" s="33"/>
      <c r="U217" s="33"/>
      <c r="V217" s="2"/>
      <c r="W217" s="2"/>
      <c r="X217" s="33">
        <f>$F$217</f>
        <v>37884</v>
      </c>
      <c r="Y217" s="33"/>
      <c r="Z217" s="96">
        <f t="shared" si="166"/>
        <v>37884</v>
      </c>
      <c r="AD217" s="59">
        <f t="shared" si="151"/>
        <v>37884</v>
      </c>
      <c r="AF217" s="59">
        <f t="shared" si="152"/>
        <v>0</v>
      </c>
    </row>
    <row r="218" spans="1:32" ht="46.95" customHeight="1" x14ac:dyDescent="0.3">
      <c r="A218" s="26" t="s">
        <v>455</v>
      </c>
      <c r="B218" s="17" t="s">
        <v>167</v>
      </c>
      <c r="C218" s="22" t="s">
        <v>37</v>
      </c>
      <c r="D218" s="38">
        <v>15</v>
      </c>
      <c r="E218" s="39">
        <v>1831.65</v>
      </c>
      <c r="F218" s="38">
        <f t="shared" si="170"/>
        <v>27474.75</v>
      </c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33"/>
      <c r="R218" s="33"/>
      <c r="S218" s="33"/>
      <c r="T218" s="33"/>
      <c r="U218" s="33"/>
      <c r="V218" s="2"/>
      <c r="W218" s="2"/>
      <c r="X218" s="33">
        <f>$F$218</f>
        <v>27474.75</v>
      </c>
      <c r="Y218" s="33"/>
      <c r="Z218" s="96">
        <f t="shared" si="166"/>
        <v>27474.75</v>
      </c>
      <c r="AD218" s="59">
        <f t="shared" si="151"/>
        <v>27474.75</v>
      </c>
      <c r="AF218" s="59">
        <f t="shared" si="152"/>
        <v>0</v>
      </c>
    </row>
    <row r="219" spans="1:32" ht="46.95" customHeight="1" x14ac:dyDescent="0.3">
      <c r="A219" s="29" t="s">
        <v>456</v>
      </c>
      <c r="B219" s="21" t="s">
        <v>168</v>
      </c>
      <c r="C219" s="44"/>
      <c r="D219" s="40"/>
      <c r="E219" s="67"/>
      <c r="F219" s="40">
        <f t="shared" ref="F219:Y219" si="171">SUM(F220:F221)</f>
        <v>84011.88</v>
      </c>
      <c r="G219" s="84">
        <v>0</v>
      </c>
      <c r="H219" s="84">
        <v>0</v>
      </c>
      <c r="I219" s="84">
        <v>0</v>
      </c>
      <c r="J219" s="84">
        <v>0</v>
      </c>
      <c r="K219" s="84">
        <v>0</v>
      </c>
      <c r="L219" s="84">
        <v>0</v>
      </c>
      <c r="M219" s="84">
        <v>0</v>
      </c>
      <c r="N219" s="84">
        <v>0</v>
      </c>
      <c r="O219" s="84">
        <v>38335.42</v>
      </c>
      <c r="P219" s="84">
        <f t="shared" si="171"/>
        <v>0</v>
      </c>
      <c r="Q219" s="35">
        <f t="shared" si="171"/>
        <v>0</v>
      </c>
      <c r="R219" s="35">
        <f t="shared" si="171"/>
        <v>0</v>
      </c>
      <c r="S219" s="35">
        <f t="shared" si="171"/>
        <v>13502.285</v>
      </c>
      <c r="T219" s="35">
        <f t="shared" si="171"/>
        <v>13502.285</v>
      </c>
      <c r="U219" s="35">
        <f t="shared" si="171"/>
        <v>0</v>
      </c>
      <c r="V219" s="35">
        <f t="shared" si="171"/>
        <v>0</v>
      </c>
      <c r="W219" s="35">
        <f t="shared" si="171"/>
        <v>0</v>
      </c>
      <c r="X219" s="35">
        <f t="shared" si="171"/>
        <v>18671.89</v>
      </c>
      <c r="Y219" s="35">
        <f t="shared" si="171"/>
        <v>0</v>
      </c>
      <c r="Z219" s="97">
        <f t="shared" si="166"/>
        <v>84011.88</v>
      </c>
      <c r="AD219" s="59">
        <f t="shared" si="151"/>
        <v>84011.88</v>
      </c>
      <c r="AF219" s="59">
        <f t="shared" si="152"/>
        <v>0</v>
      </c>
    </row>
    <row r="220" spans="1:32" ht="46.95" customHeight="1" x14ac:dyDescent="0.3">
      <c r="A220" s="26" t="s">
        <v>457</v>
      </c>
      <c r="B220" s="17" t="s">
        <v>169</v>
      </c>
      <c r="C220" s="22" t="s">
        <v>32</v>
      </c>
      <c r="D220" s="38">
        <v>269.31</v>
      </c>
      <c r="E220" s="39">
        <v>242.62</v>
      </c>
      <c r="F220" s="38">
        <f t="shared" ref="F220:F221" si="172">ROUND(D220*E220,2)</f>
        <v>65339.99</v>
      </c>
      <c r="G220" s="83"/>
      <c r="H220" s="83"/>
      <c r="I220" s="83"/>
      <c r="J220" s="83"/>
      <c r="K220" s="83"/>
      <c r="L220" s="83"/>
      <c r="M220" s="83"/>
      <c r="N220" s="83"/>
      <c r="O220" s="83">
        <v>38335.42</v>
      </c>
      <c r="P220" s="83"/>
      <c r="Q220" s="2"/>
      <c r="R220" s="2"/>
      <c r="S220" s="33">
        <f>(F220-SUM(G220:P220))/2</f>
        <v>13502.285</v>
      </c>
      <c r="T220" s="33">
        <f>S220</f>
        <v>13502.285</v>
      </c>
      <c r="U220" s="33"/>
      <c r="V220" s="33"/>
      <c r="W220" s="33"/>
      <c r="X220" s="33"/>
      <c r="Y220" s="33"/>
      <c r="Z220" s="96">
        <f t="shared" si="166"/>
        <v>65339.990000000005</v>
      </c>
      <c r="AD220" s="59">
        <f t="shared" si="151"/>
        <v>65339.990000000005</v>
      </c>
      <c r="AF220" s="59">
        <f t="shared" si="152"/>
        <v>0</v>
      </c>
    </row>
    <row r="221" spans="1:32" ht="46.95" customHeight="1" x14ac:dyDescent="0.3">
      <c r="A221" s="26" t="s">
        <v>458</v>
      </c>
      <c r="B221" s="17" t="s">
        <v>170</v>
      </c>
      <c r="C221" s="22" t="s">
        <v>37</v>
      </c>
      <c r="D221" s="38">
        <v>43</v>
      </c>
      <c r="E221" s="39">
        <v>434.23</v>
      </c>
      <c r="F221" s="38">
        <f t="shared" si="172"/>
        <v>18671.89</v>
      </c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33"/>
      <c r="R221" s="33"/>
      <c r="S221" s="2"/>
      <c r="T221" s="2"/>
      <c r="U221" s="33"/>
      <c r="V221" s="33"/>
      <c r="W221" s="33"/>
      <c r="X221" s="33">
        <f>F221</f>
        <v>18671.89</v>
      </c>
      <c r="Y221" s="33"/>
      <c r="Z221" s="96">
        <f t="shared" si="166"/>
        <v>18671.89</v>
      </c>
      <c r="AD221" s="59">
        <f t="shared" si="151"/>
        <v>18671.89</v>
      </c>
      <c r="AF221" s="59">
        <f t="shared" si="152"/>
        <v>0</v>
      </c>
    </row>
    <row r="222" spans="1:32" s="14" customFormat="1" ht="46.95" customHeight="1" x14ac:dyDescent="0.3">
      <c r="A222" s="27" t="s">
        <v>459</v>
      </c>
      <c r="B222" s="18" t="s">
        <v>171</v>
      </c>
      <c r="C222" s="43"/>
      <c r="D222" s="37"/>
      <c r="E222" s="67"/>
      <c r="F222" s="37">
        <f t="shared" ref="F222:Y222" si="173">F223+F225+F228</f>
        <v>1858826.3399999999</v>
      </c>
      <c r="G222" s="82">
        <v>0</v>
      </c>
      <c r="H222" s="82">
        <v>0</v>
      </c>
      <c r="I222" s="82">
        <v>0</v>
      </c>
      <c r="J222" s="82">
        <v>0</v>
      </c>
      <c r="K222" s="82">
        <v>0</v>
      </c>
      <c r="L222" s="82">
        <v>0</v>
      </c>
      <c r="M222" s="82">
        <v>0</v>
      </c>
      <c r="N222" s="82">
        <v>0</v>
      </c>
      <c r="O222" s="82">
        <v>0</v>
      </c>
      <c r="P222" s="82">
        <f t="shared" si="173"/>
        <v>0</v>
      </c>
      <c r="Q222" s="32">
        <f t="shared" si="173"/>
        <v>0</v>
      </c>
      <c r="R222" s="32">
        <f t="shared" si="173"/>
        <v>0</v>
      </c>
      <c r="S222" s="32">
        <f t="shared" si="173"/>
        <v>0</v>
      </c>
      <c r="T222" s="32">
        <f t="shared" si="173"/>
        <v>320307.85833333334</v>
      </c>
      <c r="U222" s="32">
        <f t="shared" si="173"/>
        <v>320307.85833333334</v>
      </c>
      <c r="V222" s="32">
        <f t="shared" si="173"/>
        <v>238430.66333333333</v>
      </c>
      <c r="W222" s="32">
        <f t="shared" si="173"/>
        <v>489889.98</v>
      </c>
      <c r="X222" s="32">
        <f t="shared" si="173"/>
        <v>489889.98</v>
      </c>
      <c r="Y222" s="32">
        <f t="shared" si="173"/>
        <v>0</v>
      </c>
      <c r="Z222" s="95">
        <f t="shared" si="166"/>
        <v>1858826.3399999999</v>
      </c>
      <c r="AA222" s="13"/>
      <c r="AD222" s="59">
        <f t="shared" si="151"/>
        <v>1858826.3399999999</v>
      </c>
      <c r="AF222" s="59">
        <f t="shared" si="152"/>
        <v>0</v>
      </c>
    </row>
    <row r="223" spans="1:32" ht="46.95" customHeight="1" x14ac:dyDescent="0.3">
      <c r="A223" s="29" t="s">
        <v>460</v>
      </c>
      <c r="B223" s="21" t="s">
        <v>72</v>
      </c>
      <c r="C223" s="44"/>
      <c r="D223" s="40"/>
      <c r="E223" s="67"/>
      <c r="F223" s="40">
        <f t="shared" ref="F223:Y223" si="174">SUM(F224)</f>
        <v>130296.36</v>
      </c>
      <c r="G223" s="84">
        <v>0</v>
      </c>
      <c r="H223" s="84">
        <v>0</v>
      </c>
      <c r="I223" s="84">
        <v>0</v>
      </c>
      <c r="J223" s="84">
        <v>0</v>
      </c>
      <c r="K223" s="84">
        <v>0</v>
      </c>
      <c r="L223" s="84">
        <v>0</v>
      </c>
      <c r="M223" s="84">
        <v>0</v>
      </c>
      <c r="N223" s="84">
        <v>0</v>
      </c>
      <c r="O223" s="84">
        <v>0</v>
      </c>
      <c r="P223" s="84">
        <f t="shared" si="174"/>
        <v>0</v>
      </c>
      <c r="Q223" s="35">
        <f t="shared" si="174"/>
        <v>0</v>
      </c>
      <c r="R223" s="35">
        <f t="shared" si="174"/>
        <v>0</v>
      </c>
      <c r="S223" s="35">
        <f t="shared" si="174"/>
        <v>0</v>
      </c>
      <c r="T223" s="35">
        <f t="shared" si="174"/>
        <v>65148.18</v>
      </c>
      <c r="U223" s="35">
        <f t="shared" si="174"/>
        <v>65148.18</v>
      </c>
      <c r="V223" s="35">
        <f t="shared" si="174"/>
        <v>0</v>
      </c>
      <c r="W223" s="35">
        <f t="shared" si="174"/>
        <v>0</v>
      </c>
      <c r="X223" s="35">
        <f t="shared" si="174"/>
        <v>0</v>
      </c>
      <c r="Y223" s="35">
        <f t="shared" si="174"/>
        <v>0</v>
      </c>
      <c r="Z223" s="97">
        <f t="shared" si="166"/>
        <v>130296.36</v>
      </c>
      <c r="AD223" s="59">
        <f t="shared" si="151"/>
        <v>130296.36</v>
      </c>
      <c r="AF223" s="59">
        <f t="shared" si="152"/>
        <v>0</v>
      </c>
    </row>
    <row r="224" spans="1:32" ht="46.95" customHeight="1" x14ac:dyDescent="0.3">
      <c r="A224" s="26" t="s">
        <v>461</v>
      </c>
      <c r="B224" s="17" t="s">
        <v>144</v>
      </c>
      <c r="C224" s="22" t="s">
        <v>47</v>
      </c>
      <c r="D224" s="38">
        <v>2105.9699999999998</v>
      </c>
      <c r="E224" s="39">
        <v>61.87</v>
      </c>
      <c r="F224" s="38">
        <v>130296.36</v>
      </c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33"/>
      <c r="R224" s="33"/>
      <c r="S224" s="33"/>
      <c r="T224" s="33">
        <f>$F$224/2</f>
        <v>65148.18</v>
      </c>
      <c r="U224" s="33">
        <f>$F$224/2</f>
        <v>65148.18</v>
      </c>
      <c r="V224" s="33"/>
      <c r="W224" s="33"/>
      <c r="X224" s="33"/>
      <c r="Y224" s="33"/>
      <c r="Z224" s="96">
        <f t="shared" si="166"/>
        <v>130296.36</v>
      </c>
      <c r="AD224" s="59">
        <f t="shared" si="151"/>
        <v>130296.36</v>
      </c>
      <c r="AF224" s="59">
        <f t="shared" si="152"/>
        <v>0</v>
      </c>
    </row>
    <row r="225" spans="1:32" ht="46.95" customHeight="1" x14ac:dyDescent="0.3">
      <c r="A225" s="29" t="s">
        <v>462</v>
      </c>
      <c r="B225" s="21" t="s">
        <v>145</v>
      </c>
      <c r="C225" s="44"/>
      <c r="D225" s="40"/>
      <c r="E225" s="67"/>
      <c r="F225" s="40">
        <f t="shared" ref="F225:Y225" si="175">SUM(F226:F227)</f>
        <v>33458.03</v>
      </c>
      <c r="G225" s="84">
        <v>0</v>
      </c>
      <c r="H225" s="84">
        <v>0</v>
      </c>
      <c r="I225" s="84">
        <v>0</v>
      </c>
      <c r="J225" s="84">
        <v>0</v>
      </c>
      <c r="K225" s="84">
        <v>0</v>
      </c>
      <c r="L225" s="84">
        <v>0</v>
      </c>
      <c r="M225" s="84">
        <v>0</v>
      </c>
      <c r="N225" s="84">
        <v>0</v>
      </c>
      <c r="O225" s="84">
        <v>0</v>
      </c>
      <c r="P225" s="84">
        <f t="shared" si="175"/>
        <v>0</v>
      </c>
      <c r="Q225" s="35">
        <f t="shared" si="175"/>
        <v>0</v>
      </c>
      <c r="R225" s="35">
        <f t="shared" si="175"/>
        <v>0</v>
      </c>
      <c r="S225" s="35">
        <f t="shared" si="175"/>
        <v>0</v>
      </c>
      <c r="T225" s="35">
        <f t="shared" si="175"/>
        <v>16729.014999999999</v>
      </c>
      <c r="U225" s="35">
        <f t="shared" si="175"/>
        <v>16729.014999999999</v>
      </c>
      <c r="V225" s="35">
        <f t="shared" si="175"/>
        <v>0</v>
      </c>
      <c r="W225" s="35">
        <f t="shared" si="175"/>
        <v>0</v>
      </c>
      <c r="X225" s="35">
        <f t="shared" si="175"/>
        <v>0</v>
      </c>
      <c r="Y225" s="35">
        <f t="shared" si="175"/>
        <v>0</v>
      </c>
      <c r="Z225" s="97">
        <f t="shared" si="166"/>
        <v>33458.03</v>
      </c>
      <c r="AD225" s="59">
        <f t="shared" si="151"/>
        <v>33458.03</v>
      </c>
      <c r="AF225" s="59">
        <f t="shared" si="152"/>
        <v>0</v>
      </c>
    </row>
    <row r="226" spans="1:32" ht="46.95" customHeight="1" x14ac:dyDescent="0.3">
      <c r="A226" s="26" t="s">
        <v>463</v>
      </c>
      <c r="B226" s="17" t="s">
        <v>172</v>
      </c>
      <c r="C226" s="22" t="s">
        <v>47</v>
      </c>
      <c r="D226" s="38">
        <v>661.88</v>
      </c>
      <c r="E226" s="39">
        <v>17.84</v>
      </c>
      <c r="F226" s="38">
        <v>11807.94</v>
      </c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33"/>
      <c r="R226" s="33"/>
      <c r="S226" s="33"/>
      <c r="T226" s="33">
        <f>$F$226/2</f>
        <v>5903.97</v>
      </c>
      <c r="U226" s="33">
        <f>$F$226/2</f>
        <v>5903.97</v>
      </c>
      <c r="V226" s="33"/>
      <c r="W226" s="33"/>
      <c r="X226" s="33"/>
      <c r="Y226" s="33"/>
      <c r="Z226" s="96">
        <f t="shared" si="166"/>
        <v>11807.94</v>
      </c>
      <c r="AD226" s="59">
        <f t="shared" si="151"/>
        <v>11807.94</v>
      </c>
      <c r="AF226" s="59">
        <f t="shared" si="152"/>
        <v>0</v>
      </c>
    </row>
    <row r="227" spans="1:32" ht="46.95" customHeight="1" x14ac:dyDescent="0.3">
      <c r="A227" s="26" t="s">
        <v>464</v>
      </c>
      <c r="B227" s="17" t="s">
        <v>55</v>
      </c>
      <c r="C227" s="22" t="s">
        <v>47</v>
      </c>
      <c r="D227" s="38">
        <v>661.88</v>
      </c>
      <c r="E227" s="39">
        <v>32.71</v>
      </c>
      <c r="F227" s="38">
        <v>21650.09</v>
      </c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33"/>
      <c r="R227" s="33"/>
      <c r="S227" s="33"/>
      <c r="T227" s="33">
        <f>$F$227/2</f>
        <v>10825.045</v>
      </c>
      <c r="U227" s="33">
        <f>$F$227/2</f>
        <v>10825.045</v>
      </c>
      <c r="V227" s="33"/>
      <c r="W227" s="33"/>
      <c r="X227" s="33"/>
      <c r="Y227" s="33"/>
      <c r="Z227" s="96">
        <f t="shared" si="166"/>
        <v>21650.09</v>
      </c>
      <c r="AD227" s="59">
        <f t="shared" si="151"/>
        <v>21650.09</v>
      </c>
      <c r="AF227" s="59">
        <f t="shared" si="152"/>
        <v>0</v>
      </c>
    </row>
    <row r="228" spans="1:32" ht="46.95" customHeight="1" x14ac:dyDescent="0.3">
      <c r="A228" s="29" t="s">
        <v>465</v>
      </c>
      <c r="B228" s="21" t="s">
        <v>173</v>
      </c>
      <c r="C228" s="44"/>
      <c r="D228" s="40"/>
      <c r="E228" s="67"/>
      <c r="F228" s="40">
        <f t="shared" ref="F228:Y228" si="176">SUM(F229:F233)</f>
        <v>1695071.95</v>
      </c>
      <c r="G228" s="84">
        <v>0</v>
      </c>
      <c r="H228" s="84">
        <v>0</v>
      </c>
      <c r="I228" s="84">
        <v>0</v>
      </c>
      <c r="J228" s="84">
        <v>0</v>
      </c>
      <c r="K228" s="84">
        <v>0</v>
      </c>
      <c r="L228" s="84">
        <v>0</v>
      </c>
      <c r="M228" s="84">
        <v>0</v>
      </c>
      <c r="N228" s="84">
        <v>0</v>
      </c>
      <c r="O228" s="84">
        <v>0</v>
      </c>
      <c r="P228" s="84">
        <f t="shared" si="176"/>
        <v>0</v>
      </c>
      <c r="Q228" s="35">
        <f t="shared" si="176"/>
        <v>0</v>
      </c>
      <c r="R228" s="35">
        <f t="shared" si="176"/>
        <v>0</v>
      </c>
      <c r="S228" s="35">
        <f t="shared" si="176"/>
        <v>0</v>
      </c>
      <c r="T228" s="35">
        <f t="shared" si="176"/>
        <v>238430.66333333333</v>
      </c>
      <c r="U228" s="35">
        <f t="shared" si="176"/>
        <v>238430.66333333333</v>
      </c>
      <c r="V228" s="35">
        <f t="shared" si="176"/>
        <v>238430.66333333333</v>
      </c>
      <c r="W228" s="35">
        <f t="shared" si="176"/>
        <v>489889.98</v>
      </c>
      <c r="X228" s="35">
        <f>SUM(X229:X233)</f>
        <v>489889.98</v>
      </c>
      <c r="Y228" s="35">
        <f t="shared" si="176"/>
        <v>0</v>
      </c>
      <c r="Z228" s="97">
        <f t="shared" si="166"/>
        <v>1695071.95</v>
      </c>
      <c r="AD228" s="59">
        <f t="shared" si="151"/>
        <v>1695071.95</v>
      </c>
      <c r="AF228" s="59">
        <f t="shared" si="152"/>
        <v>0</v>
      </c>
    </row>
    <row r="229" spans="1:32" ht="46.95" customHeight="1" x14ac:dyDescent="0.3">
      <c r="A229" s="26" t="s">
        <v>466</v>
      </c>
      <c r="B229" s="17" t="s">
        <v>174</v>
      </c>
      <c r="C229" s="22" t="s">
        <v>32</v>
      </c>
      <c r="D229" s="38">
        <v>601.71</v>
      </c>
      <c r="E229" s="39">
        <v>12.68</v>
      </c>
      <c r="F229" s="38">
        <v>7629.68</v>
      </c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33"/>
      <c r="R229" s="33"/>
      <c r="S229" s="33"/>
      <c r="T229" s="33">
        <f>$F$229/3</f>
        <v>2543.2266666666669</v>
      </c>
      <c r="U229" s="33">
        <f t="shared" ref="U229" si="177">$F$229/3</f>
        <v>2543.2266666666669</v>
      </c>
      <c r="V229" s="33">
        <f>$F$229/3</f>
        <v>2543.2266666666669</v>
      </c>
      <c r="W229" s="33"/>
      <c r="X229" s="33"/>
      <c r="Y229" s="33"/>
      <c r="Z229" s="96">
        <f t="shared" si="166"/>
        <v>7629.68</v>
      </c>
      <c r="AD229" s="59">
        <f t="shared" si="151"/>
        <v>7629.68</v>
      </c>
      <c r="AF229" s="59">
        <f t="shared" si="152"/>
        <v>0</v>
      </c>
    </row>
    <row r="230" spans="1:32" ht="46.95" customHeight="1" x14ac:dyDescent="0.3">
      <c r="A230" s="26" t="s">
        <v>467</v>
      </c>
      <c r="B230" s="17" t="s">
        <v>175</v>
      </c>
      <c r="C230" s="22" t="s">
        <v>32</v>
      </c>
      <c r="D230" s="38">
        <v>5014.22</v>
      </c>
      <c r="E230" s="39">
        <v>27.46</v>
      </c>
      <c r="F230" s="38">
        <v>137690.48000000001</v>
      </c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33"/>
      <c r="R230" s="33"/>
      <c r="S230" s="33"/>
      <c r="T230" s="33">
        <f>$F$230/3</f>
        <v>45896.826666666668</v>
      </c>
      <c r="U230" s="33">
        <f t="shared" ref="U230:V230" si="178">$F$230/3</f>
        <v>45896.826666666668</v>
      </c>
      <c r="V230" s="33">
        <f t="shared" si="178"/>
        <v>45896.826666666668</v>
      </c>
      <c r="W230" s="33"/>
      <c r="X230" s="33"/>
      <c r="Y230" s="33"/>
      <c r="Z230" s="96">
        <f t="shared" si="166"/>
        <v>137690.48000000001</v>
      </c>
      <c r="AD230" s="59">
        <f t="shared" si="151"/>
        <v>137690.48000000001</v>
      </c>
      <c r="AF230" s="59">
        <f t="shared" si="152"/>
        <v>0</v>
      </c>
    </row>
    <row r="231" spans="1:32" ht="46.95" customHeight="1" x14ac:dyDescent="0.3">
      <c r="A231" s="26" t="s">
        <v>468</v>
      </c>
      <c r="B231" s="17" t="s">
        <v>176</v>
      </c>
      <c r="C231" s="22" t="s">
        <v>28</v>
      </c>
      <c r="D231" s="38">
        <v>5014.22</v>
      </c>
      <c r="E231" s="39">
        <v>20.46</v>
      </c>
      <c r="F231" s="38">
        <v>102590.94</v>
      </c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33"/>
      <c r="R231" s="33"/>
      <c r="S231" s="33"/>
      <c r="T231" s="33">
        <f>$F$231/3</f>
        <v>34196.980000000003</v>
      </c>
      <c r="U231" s="33">
        <f t="shared" ref="U231:V231" si="179">$F$231/3</f>
        <v>34196.980000000003</v>
      </c>
      <c r="V231" s="33">
        <f t="shared" si="179"/>
        <v>34196.980000000003</v>
      </c>
      <c r="W231" s="33"/>
      <c r="X231" s="33"/>
      <c r="Y231" s="33"/>
      <c r="Z231" s="96">
        <f t="shared" si="166"/>
        <v>102590.94</v>
      </c>
      <c r="AD231" s="59">
        <f t="shared" si="151"/>
        <v>102590.94</v>
      </c>
      <c r="AF231" s="59">
        <f t="shared" si="152"/>
        <v>0</v>
      </c>
    </row>
    <row r="232" spans="1:32" ht="46.95" customHeight="1" x14ac:dyDescent="0.3">
      <c r="A232" s="26" t="s">
        <v>469</v>
      </c>
      <c r="B232" s="17" t="s">
        <v>177</v>
      </c>
      <c r="C232" s="22" t="s">
        <v>37</v>
      </c>
      <c r="D232" s="38">
        <v>531</v>
      </c>
      <c r="E232" s="39">
        <v>880.19</v>
      </c>
      <c r="F232" s="38">
        <v>467380.89</v>
      </c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33"/>
      <c r="R232" s="33"/>
      <c r="S232" s="33"/>
      <c r="T232" s="33">
        <f>$F$232/3</f>
        <v>155793.63</v>
      </c>
      <c r="U232" s="33">
        <f t="shared" ref="U232:V232" si="180">$F$232/3</f>
        <v>155793.63</v>
      </c>
      <c r="V232" s="33">
        <f t="shared" si="180"/>
        <v>155793.63</v>
      </c>
      <c r="W232" s="33"/>
      <c r="X232" s="33"/>
      <c r="Y232" s="33"/>
      <c r="Z232" s="96">
        <f t="shared" si="166"/>
        <v>467380.89</v>
      </c>
      <c r="AD232" s="59">
        <f t="shared" si="151"/>
        <v>467380.89</v>
      </c>
      <c r="AF232" s="59">
        <f t="shared" si="152"/>
        <v>0</v>
      </c>
    </row>
    <row r="233" spans="1:32" s="14" customFormat="1" ht="46.95" customHeight="1" x14ac:dyDescent="0.3">
      <c r="A233" s="26" t="s">
        <v>470</v>
      </c>
      <c r="B233" s="17" t="s">
        <v>178</v>
      </c>
      <c r="C233" s="22" t="s">
        <v>37</v>
      </c>
      <c r="D233" s="38">
        <v>531</v>
      </c>
      <c r="E233" s="39">
        <v>1845.16</v>
      </c>
      <c r="F233" s="38">
        <v>979779.96</v>
      </c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33"/>
      <c r="R233" s="33"/>
      <c r="S233" s="33"/>
      <c r="T233" s="33"/>
      <c r="U233" s="33"/>
      <c r="W233" s="33">
        <f>$F$233/2</f>
        <v>489889.98</v>
      </c>
      <c r="X233" s="33">
        <f>$F$233/2</f>
        <v>489889.98</v>
      </c>
      <c r="Y233" s="33"/>
      <c r="Z233" s="96">
        <f t="shared" si="166"/>
        <v>979779.96</v>
      </c>
      <c r="AA233" s="13"/>
      <c r="AD233" s="59">
        <f t="shared" si="151"/>
        <v>979779.96</v>
      </c>
      <c r="AF233" s="59">
        <f t="shared" si="152"/>
        <v>0</v>
      </c>
    </row>
    <row r="234" spans="1:32" ht="46.95" customHeight="1" x14ac:dyDescent="0.3">
      <c r="A234" s="28" t="s">
        <v>471</v>
      </c>
      <c r="B234" s="19" t="s">
        <v>179</v>
      </c>
      <c r="C234" s="42"/>
      <c r="D234" s="36"/>
      <c r="E234" s="39"/>
      <c r="F234" s="46">
        <f t="shared" ref="F234:Y234" si="181">F235+F246+F249+F251+F253+F255+F257</f>
        <v>504636.52</v>
      </c>
      <c r="G234" s="81">
        <v>0</v>
      </c>
      <c r="H234" s="81">
        <v>0</v>
      </c>
      <c r="I234" s="81">
        <v>0</v>
      </c>
      <c r="J234" s="81">
        <v>0</v>
      </c>
      <c r="K234" s="81">
        <v>0</v>
      </c>
      <c r="L234" s="81">
        <v>0</v>
      </c>
      <c r="M234" s="81">
        <v>0</v>
      </c>
      <c r="N234" s="81">
        <v>0</v>
      </c>
      <c r="O234" s="81">
        <v>0</v>
      </c>
      <c r="P234" s="81">
        <f t="shared" si="181"/>
        <v>0</v>
      </c>
      <c r="Q234" s="60">
        <f t="shared" si="181"/>
        <v>0</v>
      </c>
      <c r="R234" s="60">
        <f t="shared" si="181"/>
        <v>0</v>
      </c>
      <c r="S234" s="60">
        <f t="shared" si="181"/>
        <v>0</v>
      </c>
      <c r="T234" s="60">
        <f t="shared" si="181"/>
        <v>0</v>
      </c>
      <c r="U234" s="60">
        <f t="shared" si="181"/>
        <v>0</v>
      </c>
      <c r="V234" s="60">
        <f t="shared" si="181"/>
        <v>0</v>
      </c>
      <c r="W234" s="60">
        <f t="shared" si="181"/>
        <v>29543.68</v>
      </c>
      <c r="X234" s="60">
        <f t="shared" si="181"/>
        <v>247235.73499999999</v>
      </c>
      <c r="Y234" s="60">
        <f t="shared" si="181"/>
        <v>227857.10499999998</v>
      </c>
      <c r="Z234" s="94">
        <f t="shared" si="166"/>
        <v>504636.51999999996</v>
      </c>
      <c r="AD234" s="59">
        <f t="shared" si="151"/>
        <v>504636.51999999996</v>
      </c>
      <c r="AF234" s="59">
        <f t="shared" si="152"/>
        <v>0</v>
      </c>
    </row>
    <row r="235" spans="1:32" ht="46.95" customHeight="1" x14ac:dyDescent="0.3">
      <c r="A235" s="27" t="s">
        <v>472</v>
      </c>
      <c r="B235" s="18" t="s">
        <v>180</v>
      </c>
      <c r="C235" s="43"/>
      <c r="D235" s="37"/>
      <c r="E235" s="67"/>
      <c r="F235" s="37">
        <f t="shared" ref="F235:Y235" si="182">F236+F239+F243</f>
        <v>34577.120000000003</v>
      </c>
      <c r="G235" s="82">
        <v>0</v>
      </c>
      <c r="H235" s="82">
        <v>0</v>
      </c>
      <c r="I235" s="82">
        <v>0</v>
      </c>
      <c r="J235" s="82">
        <v>0</v>
      </c>
      <c r="K235" s="82">
        <v>0</v>
      </c>
      <c r="L235" s="82">
        <v>0</v>
      </c>
      <c r="M235" s="82">
        <v>0</v>
      </c>
      <c r="N235" s="82">
        <v>0</v>
      </c>
      <c r="O235" s="82">
        <v>0</v>
      </c>
      <c r="P235" s="82">
        <f t="shared" si="182"/>
        <v>0</v>
      </c>
      <c r="Q235" s="32">
        <f t="shared" si="182"/>
        <v>0</v>
      </c>
      <c r="R235" s="32">
        <f t="shared" si="182"/>
        <v>0</v>
      </c>
      <c r="S235" s="32">
        <f t="shared" si="182"/>
        <v>0</v>
      </c>
      <c r="T235" s="32">
        <f t="shared" si="182"/>
        <v>0</v>
      </c>
      <c r="U235" s="32">
        <f t="shared" si="182"/>
        <v>0</v>
      </c>
      <c r="V235" s="32">
        <f t="shared" si="182"/>
        <v>0</v>
      </c>
      <c r="W235" s="32">
        <f t="shared" si="182"/>
        <v>0</v>
      </c>
      <c r="X235" s="32">
        <f t="shared" si="182"/>
        <v>34577.120000000003</v>
      </c>
      <c r="Y235" s="32">
        <f t="shared" si="182"/>
        <v>0</v>
      </c>
      <c r="Z235" s="95">
        <f t="shared" si="166"/>
        <v>34577.120000000003</v>
      </c>
      <c r="AD235" s="59">
        <f t="shared" si="151"/>
        <v>34577.120000000003</v>
      </c>
      <c r="AF235" s="59">
        <f t="shared" si="152"/>
        <v>0</v>
      </c>
    </row>
    <row r="236" spans="1:32" s="14" customFormat="1" ht="46.95" customHeight="1" x14ac:dyDescent="0.3">
      <c r="A236" s="29" t="s">
        <v>473</v>
      </c>
      <c r="B236" s="21" t="s">
        <v>72</v>
      </c>
      <c r="C236" s="44"/>
      <c r="D236" s="40"/>
      <c r="E236" s="67"/>
      <c r="F236" s="40">
        <f t="shared" ref="F236:Y236" si="183">SUM(F237:F238)</f>
        <v>1104.77</v>
      </c>
      <c r="G236" s="84">
        <v>0</v>
      </c>
      <c r="H236" s="84">
        <v>0</v>
      </c>
      <c r="I236" s="84">
        <v>0</v>
      </c>
      <c r="J236" s="84">
        <v>0</v>
      </c>
      <c r="K236" s="84">
        <v>0</v>
      </c>
      <c r="L236" s="84">
        <v>0</v>
      </c>
      <c r="M236" s="84">
        <v>0</v>
      </c>
      <c r="N236" s="84">
        <v>0</v>
      </c>
      <c r="O236" s="84">
        <v>0</v>
      </c>
      <c r="P236" s="84">
        <f t="shared" si="183"/>
        <v>0</v>
      </c>
      <c r="Q236" s="35">
        <f t="shared" si="183"/>
        <v>0</v>
      </c>
      <c r="R236" s="35">
        <f t="shared" si="183"/>
        <v>0</v>
      </c>
      <c r="S236" s="35">
        <f t="shared" si="183"/>
        <v>0</v>
      </c>
      <c r="T236" s="35">
        <f t="shared" si="183"/>
        <v>0</v>
      </c>
      <c r="U236" s="35">
        <f t="shared" si="183"/>
        <v>0</v>
      </c>
      <c r="V236" s="35">
        <f t="shared" si="183"/>
        <v>0</v>
      </c>
      <c r="W236" s="35">
        <f t="shared" si="183"/>
        <v>0</v>
      </c>
      <c r="X236" s="35">
        <f t="shared" si="183"/>
        <v>1104.77</v>
      </c>
      <c r="Y236" s="35">
        <f t="shared" si="183"/>
        <v>0</v>
      </c>
      <c r="Z236" s="97">
        <f t="shared" si="166"/>
        <v>1104.77</v>
      </c>
      <c r="AA236" s="13"/>
      <c r="AD236" s="59">
        <f t="shared" si="151"/>
        <v>1104.77</v>
      </c>
      <c r="AF236" s="59">
        <f t="shared" si="152"/>
        <v>0</v>
      </c>
    </row>
    <row r="237" spans="1:32" ht="46.95" customHeight="1" x14ac:dyDescent="0.3">
      <c r="A237" s="26" t="s">
        <v>474</v>
      </c>
      <c r="B237" s="17" t="s">
        <v>181</v>
      </c>
      <c r="C237" s="22" t="s">
        <v>47</v>
      </c>
      <c r="D237" s="38">
        <v>11.29</v>
      </c>
      <c r="E237" s="39">
        <v>61.87</v>
      </c>
      <c r="F237" s="38">
        <v>698.51</v>
      </c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33"/>
      <c r="R237" s="33"/>
      <c r="S237" s="33"/>
      <c r="T237" s="33"/>
      <c r="U237" s="33"/>
      <c r="V237" s="2"/>
      <c r="W237" s="33"/>
      <c r="X237" s="33">
        <f>F237</f>
        <v>698.51</v>
      </c>
      <c r="Y237" s="33"/>
      <c r="Z237" s="96">
        <f t="shared" si="166"/>
        <v>698.51</v>
      </c>
      <c r="AD237" s="59">
        <f t="shared" si="151"/>
        <v>698.51</v>
      </c>
      <c r="AF237" s="59">
        <f t="shared" si="152"/>
        <v>0</v>
      </c>
    </row>
    <row r="238" spans="1:32" s="14" customFormat="1" ht="46.95" customHeight="1" x14ac:dyDescent="0.3">
      <c r="A238" s="26" t="s">
        <v>475</v>
      </c>
      <c r="B238" s="17" t="s">
        <v>182</v>
      </c>
      <c r="C238" s="22" t="s">
        <v>47</v>
      </c>
      <c r="D238" s="38">
        <v>12.42</v>
      </c>
      <c r="E238" s="39">
        <v>32.71</v>
      </c>
      <c r="F238" s="38">
        <v>406.26</v>
      </c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33"/>
      <c r="R238" s="33"/>
      <c r="S238" s="33"/>
      <c r="T238" s="33"/>
      <c r="U238" s="33"/>
      <c r="V238" s="70"/>
      <c r="W238" s="33"/>
      <c r="X238" s="33">
        <f>F238</f>
        <v>406.26</v>
      </c>
      <c r="Y238" s="33"/>
      <c r="Z238" s="96">
        <f t="shared" si="166"/>
        <v>406.26</v>
      </c>
      <c r="AA238" s="13"/>
      <c r="AD238" s="59">
        <f t="shared" si="151"/>
        <v>406.26</v>
      </c>
      <c r="AF238" s="59">
        <f t="shared" si="152"/>
        <v>0</v>
      </c>
    </row>
    <row r="239" spans="1:32" ht="46.95" customHeight="1" x14ac:dyDescent="0.3">
      <c r="A239" s="29" t="s">
        <v>476</v>
      </c>
      <c r="B239" s="21" t="s">
        <v>75</v>
      </c>
      <c r="C239" s="44"/>
      <c r="D239" s="40"/>
      <c r="E239" s="67"/>
      <c r="F239" s="40">
        <f t="shared" ref="F239:Y239" si="184">SUM(F240:F242)</f>
        <v>21509.850000000002</v>
      </c>
      <c r="G239" s="84">
        <v>0</v>
      </c>
      <c r="H239" s="84">
        <v>0</v>
      </c>
      <c r="I239" s="84">
        <v>0</v>
      </c>
      <c r="J239" s="84">
        <v>0</v>
      </c>
      <c r="K239" s="84">
        <v>0</v>
      </c>
      <c r="L239" s="84">
        <v>0</v>
      </c>
      <c r="M239" s="84">
        <v>0</v>
      </c>
      <c r="N239" s="84">
        <v>0</v>
      </c>
      <c r="O239" s="84">
        <v>0</v>
      </c>
      <c r="P239" s="84">
        <f t="shared" si="184"/>
        <v>0</v>
      </c>
      <c r="Q239" s="35">
        <f t="shared" si="184"/>
        <v>0</v>
      </c>
      <c r="R239" s="35">
        <f t="shared" si="184"/>
        <v>0</v>
      </c>
      <c r="S239" s="35">
        <f t="shared" si="184"/>
        <v>0</v>
      </c>
      <c r="T239" s="35">
        <f t="shared" si="184"/>
        <v>0</v>
      </c>
      <c r="U239" s="35">
        <f t="shared" si="184"/>
        <v>0</v>
      </c>
      <c r="V239" s="35">
        <f t="shared" si="184"/>
        <v>0</v>
      </c>
      <c r="W239" s="35">
        <f t="shared" si="184"/>
        <v>0</v>
      </c>
      <c r="X239" s="35">
        <f t="shared" si="184"/>
        <v>21509.850000000002</v>
      </c>
      <c r="Y239" s="35">
        <f t="shared" si="184"/>
        <v>0</v>
      </c>
      <c r="Z239" s="97">
        <f t="shared" si="166"/>
        <v>21509.850000000002</v>
      </c>
      <c r="AD239" s="59">
        <f t="shared" si="151"/>
        <v>21509.850000000002</v>
      </c>
      <c r="AF239" s="59">
        <f t="shared" si="152"/>
        <v>0</v>
      </c>
    </row>
    <row r="240" spans="1:32" s="14" customFormat="1" ht="46.95" customHeight="1" x14ac:dyDescent="0.3">
      <c r="A240" s="26" t="s">
        <v>477</v>
      </c>
      <c r="B240" s="17" t="s">
        <v>183</v>
      </c>
      <c r="C240" s="22" t="s">
        <v>47</v>
      </c>
      <c r="D240" s="38">
        <v>11.29</v>
      </c>
      <c r="E240" s="39">
        <v>442.7</v>
      </c>
      <c r="F240" s="38">
        <v>4998.08</v>
      </c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33"/>
      <c r="R240" s="33"/>
      <c r="S240" s="33"/>
      <c r="T240" s="33"/>
      <c r="U240" s="33"/>
      <c r="V240" s="33"/>
      <c r="W240" s="33"/>
      <c r="X240" s="33">
        <f>$F$240</f>
        <v>4998.08</v>
      </c>
      <c r="Y240" s="33"/>
      <c r="Z240" s="96">
        <f t="shared" si="166"/>
        <v>4998.08</v>
      </c>
      <c r="AA240" s="13"/>
      <c r="AD240" s="59">
        <f t="shared" si="151"/>
        <v>4998.08</v>
      </c>
      <c r="AF240" s="59">
        <f t="shared" si="152"/>
        <v>0</v>
      </c>
    </row>
    <row r="241" spans="1:32" ht="46.95" customHeight="1" x14ac:dyDescent="0.3">
      <c r="A241" s="26" t="s">
        <v>478</v>
      </c>
      <c r="B241" s="17" t="s">
        <v>184</v>
      </c>
      <c r="C241" s="22" t="s">
        <v>28</v>
      </c>
      <c r="D241" s="38">
        <v>225.79</v>
      </c>
      <c r="E241" s="39">
        <v>72.87</v>
      </c>
      <c r="F241" s="38">
        <v>16453.32</v>
      </c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33"/>
      <c r="R241" s="33"/>
      <c r="S241" s="33"/>
      <c r="T241" s="33"/>
      <c r="U241" s="33"/>
      <c r="V241" s="33"/>
      <c r="W241" s="33"/>
      <c r="X241" s="33">
        <f>$F$241</f>
        <v>16453.32</v>
      </c>
      <c r="Y241" s="33"/>
      <c r="Z241" s="96">
        <f t="shared" si="166"/>
        <v>16453.32</v>
      </c>
      <c r="AD241" s="59">
        <f t="shared" si="151"/>
        <v>16453.32</v>
      </c>
      <c r="AF241" s="59">
        <f t="shared" si="152"/>
        <v>0</v>
      </c>
    </row>
    <row r="242" spans="1:32" s="14" customFormat="1" ht="46.95" customHeight="1" x14ac:dyDescent="0.3">
      <c r="A242" s="26" t="s">
        <v>479</v>
      </c>
      <c r="B242" s="17" t="s">
        <v>185</v>
      </c>
      <c r="C242" s="22" t="s">
        <v>28</v>
      </c>
      <c r="D242" s="38">
        <v>27.44</v>
      </c>
      <c r="E242" s="39">
        <v>2.13</v>
      </c>
      <c r="F242" s="38">
        <v>58.45</v>
      </c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33"/>
      <c r="R242" s="33"/>
      <c r="S242" s="33"/>
      <c r="T242" s="33"/>
      <c r="U242" s="33"/>
      <c r="V242" s="33"/>
      <c r="W242" s="33"/>
      <c r="X242" s="33">
        <f>$F$242</f>
        <v>58.45</v>
      </c>
      <c r="Y242" s="33"/>
      <c r="Z242" s="96">
        <f t="shared" si="166"/>
        <v>58.45</v>
      </c>
      <c r="AA242" s="13"/>
      <c r="AD242" s="59">
        <f t="shared" si="151"/>
        <v>58.45</v>
      </c>
      <c r="AF242" s="59">
        <f t="shared" si="152"/>
        <v>0</v>
      </c>
    </row>
    <row r="243" spans="1:32" ht="46.95" customHeight="1" x14ac:dyDescent="0.3">
      <c r="A243" s="29" t="s">
        <v>480</v>
      </c>
      <c r="B243" s="21" t="s">
        <v>88</v>
      </c>
      <c r="C243" s="44"/>
      <c r="D243" s="40"/>
      <c r="E243" s="67"/>
      <c r="F243" s="40">
        <f t="shared" ref="F243:Y243" si="185">SUM(F244:F245)</f>
        <v>11962.5</v>
      </c>
      <c r="G243" s="84">
        <v>0</v>
      </c>
      <c r="H243" s="84">
        <v>0</v>
      </c>
      <c r="I243" s="84">
        <v>0</v>
      </c>
      <c r="J243" s="84">
        <v>0</v>
      </c>
      <c r="K243" s="84">
        <v>0</v>
      </c>
      <c r="L243" s="84">
        <v>0</v>
      </c>
      <c r="M243" s="84">
        <v>0</v>
      </c>
      <c r="N243" s="84">
        <v>0</v>
      </c>
      <c r="O243" s="84">
        <v>0</v>
      </c>
      <c r="P243" s="84">
        <f t="shared" si="185"/>
        <v>0</v>
      </c>
      <c r="Q243" s="35">
        <f t="shared" si="185"/>
        <v>0</v>
      </c>
      <c r="R243" s="35">
        <f t="shared" si="185"/>
        <v>0</v>
      </c>
      <c r="S243" s="35">
        <f t="shared" si="185"/>
        <v>0</v>
      </c>
      <c r="T243" s="35">
        <f t="shared" si="185"/>
        <v>0</v>
      </c>
      <c r="U243" s="35">
        <f t="shared" si="185"/>
        <v>0</v>
      </c>
      <c r="V243" s="35">
        <f t="shared" si="185"/>
        <v>0</v>
      </c>
      <c r="W243" s="35">
        <f t="shared" si="185"/>
        <v>0</v>
      </c>
      <c r="X243" s="35">
        <f t="shared" si="185"/>
        <v>11962.5</v>
      </c>
      <c r="Y243" s="35">
        <f t="shared" si="185"/>
        <v>0</v>
      </c>
      <c r="Z243" s="97">
        <f t="shared" si="166"/>
        <v>11962.5</v>
      </c>
      <c r="AD243" s="59">
        <f t="shared" si="151"/>
        <v>11962.5</v>
      </c>
      <c r="AF243" s="59">
        <f t="shared" si="152"/>
        <v>0</v>
      </c>
    </row>
    <row r="244" spans="1:32" ht="46.95" customHeight="1" x14ac:dyDescent="0.3">
      <c r="A244" s="26" t="s">
        <v>481</v>
      </c>
      <c r="B244" s="17" t="s">
        <v>186</v>
      </c>
      <c r="C244" s="22" t="s">
        <v>28</v>
      </c>
      <c r="D244" s="38">
        <v>27.44</v>
      </c>
      <c r="E244" s="39">
        <v>24.4</v>
      </c>
      <c r="F244" s="38">
        <v>669.54</v>
      </c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33"/>
      <c r="R244" s="33"/>
      <c r="S244" s="33"/>
      <c r="T244" s="33"/>
      <c r="U244" s="33"/>
      <c r="V244" s="33"/>
      <c r="W244" s="33"/>
      <c r="X244" s="33">
        <f>$F$244</f>
        <v>669.54</v>
      </c>
      <c r="Y244" s="33"/>
      <c r="Z244" s="96">
        <f t="shared" si="166"/>
        <v>669.54</v>
      </c>
      <c r="AD244" s="59">
        <f t="shared" si="151"/>
        <v>669.54</v>
      </c>
      <c r="AF244" s="59">
        <f t="shared" si="152"/>
        <v>0</v>
      </c>
    </row>
    <row r="245" spans="1:32" ht="46.95" customHeight="1" x14ac:dyDescent="0.3">
      <c r="A245" s="26" t="s">
        <v>482</v>
      </c>
      <c r="B245" s="17" t="s">
        <v>187</v>
      </c>
      <c r="C245" s="22" t="s">
        <v>37</v>
      </c>
      <c r="D245" s="38">
        <v>48</v>
      </c>
      <c r="E245" s="39">
        <v>235.27</v>
      </c>
      <c r="F245" s="38">
        <v>11292.96</v>
      </c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33"/>
      <c r="R245" s="33"/>
      <c r="S245" s="33"/>
      <c r="T245" s="33"/>
      <c r="U245" s="33"/>
      <c r="V245" s="33"/>
      <c r="W245" s="33"/>
      <c r="X245" s="33">
        <f>$F$245</f>
        <v>11292.96</v>
      </c>
      <c r="Y245" s="33"/>
      <c r="Z245" s="96">
        <f t="shared" si="166"/>
        <v>11292.96</v>
      </c>
      <c r="AD245" s="59">
        <f t="shared" si="151"/>
        <v>11292.96</v>
      </c>
      <c r="AF245" s="59">
        <f t="shared" si="152"/>
        <v>0</v>
      </c>
    </row>
    <row r="246" spans="1:32" ht="46.95" customHeight="1" x14ac:dyDescent="0.3">
      <c r="A246" s="27" t="s">
        <v>483</v>
      </c>
      <c r="B246" s="18" t="s">
        <v>188</v>
      </c>
      <c r="C246" s="43"/>
      <c r="D246" s="37"/>
      <c r="E246" s="67"/>
      <c r="F246" s="37">
        <f t="shared" ref="F246:F247" si="186">SUM(F247)</f>
        <v>59087.360000000001</v>
      </c>
      <c r="G246" s="82">
        <v>0</v>
      </c>
      <c r="H246" s="82">
        <v>0</v>
      </c>
      <c r="I246" s="82">
        <v>0</v>
      </c>
      <c r="J246" s="82">
        <v>0</v>
      </c>
      <c r="K246" s="82">
        <v>0</v>
      </c>
      <c r="L246" s="82">
        <v>0</v>
      </c>
      <c r="M246" s="82">
        <v>0</v>
      </c>
      <c r="N246" s="82">
        <v>0</v>
      </c>
      <c r="O246" s="82">
        <v>0</v>
      </c>
      <c r="P246" s="82">
        <f t="shared" ref="P246:Y247" si="187">SUM(P247)</f>
        <v>0</v>
      </c>
      <c r="Q246" s="32">
        <f t="shared" si="187"/>
        <v>0</v>
      </c>
      <c r="R246" s="32">
        <f t="shared" si="187"/>
        <v>0</v>
      </c>
      <c r="S246" s="32">
        <f t="shared" si="187"/>
        <v>0</v>
      </c>
      <c r="T246" s="32">
        <f t="shared" si="187"/>
        <v>0</v>
      </c>
      <c r="U246" s="32">
        <f t="shared" si="187"/>
        <v>0</v>
      </c>
      <c r="V246" s="32">
        <f t="shared" si="187"/>
        <v>0</v>
      </c>
      <c r="W246" s="32">
        <f t="shared" si="187"/>
        <v>29543.68</v>
      </c>
      <c r="X246" s="32">
        <f t="shared" si="187"/>
        <v>29543.68</v>
      </c>
      <c r="Y246" s="32">
        <f t="shared" si="187"/>
        <v>0</v>
      </c>
      <c r="Z246" s="95">
        <f t="shared" si="166"/>
        <v>59087.360000000001</v>
      </c>
      <c r="AD246" s="59">
        <f t="shared" si="151"/>
        <v>59087.360000000001</v>
      </c>
      <c r="AF246" s="59">
        <f t="shared" si="152"/>
        <v>0</v>
      </c>
    </row>
    <row r="247" spans="1:32" ht="46.95" customHeight="1" x14ac:dyDescent="0.3">
      <c r="A247" s="29" t="s">
        <v>484</v>
      </c>
      <c r="B247" s="21" t="s">
        <v>189</v>
      </c>
      <c r="C247" s="44"/>
      <c r="D247" s="40"/>
      <c r="E247" s="67"/>
      <c r="F247" s="40">
        <f t="shared" si="186"/>
        <v>59087.360000000001</v>
      </c>
      <c r="G247" s="84">
        <v>0</v>
      </c>
      <c r="H247" s="84">
        <v>0</v>
      </c>
      <c r="I247" s="84">
        <v>0</v>
      </c>
      <c r="J247" s="84">
        <v>0</v>
      </c>
      <c r="K247" s="84">
        <v>0</v>
      </c>
      <c r="L247" s="84">
        <v>0</v>
      </c>
      <c r="M247" s="84">
        <v>0</v>
      </c>
      <c r="N247" s="84">
        <v>0</v>
      </c>
      <c r="O247" s="84">
        <v>0</v>
      </c>
      <c r="P247" s="84">
        <f t="shared" si="187"/>
        <v>0</v>
      </c>
      <c r="Q247" s="35">
        <f t="shared" si="187"/>
        <v>0</v>
      </c>
      <c r="R247" s="35">
        <f t="shared" si="187"/>
        <v>0</v>
      </c>
      <c r="S247" s="35">
        <f t="shared" si="187"/>
        <v>0</v>
      </c>
      <c r="T247" s="35">
        <f t="shared" si="187"/>
        <v>0</v>
      </c>
      <c r="U247" s="35">
        <f t="shared" si="187"/>
        <v>0</v>
      </c>
      <c r="V247" s="35">
        <f t="shared" si="187"/>
        <v>0</v>
      </c>
      <c r="W247" s="35">
        <f t="shared" si="187"/>
        <v>29543.68</v>
      </c>
      <c r="X247" s="35">
        <f t="shared" si="187"/>
        <v>29543.68</v>
      </c>
      <c r="Y247" s="35">
        <f t="shared" si="187"/>
        <v>0</v>
      </c>
      <c r="Z247" s="97">
        <f t="shared" si="166"/>
        <v>59087.360000000001</v>
      </c>
      <c r="AD247" s="59">
        <f t="shared" si="151"/>
        <v>59087.360000000001</v>
      </c>
      <c r="AF247" s="59">
        <f t="shared" si="152"/>
        <v>0</v>
      </c>
    </row>
    <row r="248" spans="1:32" s="14" customFormat="1" ht="46.95" customHeight="1" x14ac:dyDescent="0.3">
      <c r="A248" s="26" t="s">
        <v>485</v>
      </c>
      <c r="B248" s="17" t="s">
        <v>189</v>
      </c>
      <c r="C248" s="22" t="s">
        <v>37</v>
      </c>
      <c r="D248" s="38">
        <v>64</v>
      </c>
      <c r="E248" s="39">
        <v>923.24</v>
      </c>
      <c r="F248" s="38">
        <v>59087.360000000001</v>
      </c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33"/>
      <c r="R248" s="33"/>
      <c r="S248" s="33"/>
      <c r="T248" s="33"/>
      <c r="U248" s="33"/>
      <c r="V248" s="33"/>
      <c r="W248" s="33">
        <f>$F$248/2</f>
        <v>29543.68</v>
      </c>
      <c r="X248" s="33">
        <f>$F$248/2</f>
        <v>29543.68</v>
      </c>
      <c r="Y248" s="33"/>
      <c r="Z248" s="96">
        <f t="shared" si="166"/>
        <v>59087.360000000001</v>
      </c>
      <c r="AA248" s="13"/>
      <c r="AD248" s="59">
        <f t="shared" si="151"/>
        <v>59087.360000000001</v>
      </c>
      <c r="AF248" s="59">
        <f t="shared" si="152"/>
        <v>0</v>
      </c>
    </row>
    <row r="249" spans="1:32" ht="46.95" customHeight="1" x14ac:dyDescent="0.3">
      <c r="A249" s="27" t="s">
        <v>486</v>
      </c>
      <c r="B249" s="18" t="s">
        <v>190</v>
      </c>
      <c r="C249" s="43"/>
      <c r="D249" s="37"/>
      <c r="E249" s="67"/>
      <c r="F249" s="37">
        <f t="shared" ref="F249:Y249" si="188">SUM(F250)</f>
        <v>272782.75</v>
      </c>
      <c r="G249" s="82">
        <v>0</v>
      </c>
      <c r="H249" s="82">
        <v>0</v>
      </c>
      <c r="I249" s="82">
        <v>0</v>
      </c>
      <c r="J249" s="82">
        <v>0</v>
      </c>
      <c r="K249" s="82">
        <v>0</v>
      </c>
      <c r="L249" s="82">
        <v>0</v>
      </c>
      <c r="M249" s="82">
        <v>0</v>
      </c>
      <c r="N249" s="82">
        <v>0</v>
      </c>
      <c r="O249" s="82">
        <v>0</v>
      </c>
      <c r="P249" s="82">
        <f t="shared" si="188"/>
        <v>0</v>
      </c>
      <c r="Q249" s="32">
        <f t="shared" si="188"/>
        <v>0</v>
      </c>
      <c r="R249" s="32">
        <f t="shared" si="188"/>
        <v>0</v>
      </c>
      <c r="S249" s="32">
        <f t="shared" si="188"/>
        <v>0</v>
      </c>
      <c r="T249" s="32">
        <f t="shared" si="188"/>
        <v>0</v>
      </c>
      <c r="U249" s="32">
        <f t="shared" si="188"/>
        <v>0</v>
      </c>
      <c r="V249" s="32">
        <f t="shared" si="188"/>
        <v>0</v>
      </c>
      <c r="W249" s="32">
        <f t="shared" si="188"/>
        <v>0</v>
      </c>
      <c r="X249" s="32">
        <f t="shared" si="188"/>
        <v>136391.375</v>
      </c>
      <c r="Y249" s="32">
        <f t="shared" si="188"/>
        <v>136391.375</v>
      </c>
      <c r="Z249" s="95">
        <f t="shared" si="166"/>
        <v>272782.75</v>
      </c>
      <c r="AD249" s="59">
        <f t="shared" si="151"/>
        <v>272782.75</v>
      </c>
      <c r="AF249" s="59">
        <f t="shared" si="152"/>
        <v>0</v>
      </c>
    </row>
    <row r="250" spans="1:32" ht="46.95" customHeight="1" x14ac:dyDescent="0.3">
      <c r="A250" s="26" t="s">
        <v>487</v>
      </c>
      <c r="B250" s="17" t="s">
        <v>191</v>
      </c>
      <c r="C250" s="22" t="s">
        <v>37</v>
      </c>
      <c r="D250" s="38">
        <v>365</v>
      </c>
      <c r="E250" s="39">
        <v>747.35</v>
      </c>
      <c r="F250" s="38">
        <v>272782.75</v>
      </c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33"/>
      <c r="R250" s="33"/>
      <c r="S250" s="33"/>
      <c r="T250" s="33"/>
      <c r="U250" s="33"/>
      <c r="V250" s="33"/>
      <c r="W250" s="33"/>
      <c r="X250" s="33">
        <f>$F$249/2</f>
        <v>136391.375</v>
      </c>
      <c r="Y250" s="33">
        <f>$F$249/2</f>
        <v>136391.375</v>
      </c>
      <c r="Z250" s="96">
        <f t="shared" si="166"/>
        <v>272782.75</v>
      </c>
      <c r="AD250" s="59">
        <f t="shared" si="151"/>
        <v>272782.75</v>
      </c>
      <c r="AF250" s="59">
        <f t="shared" si="152"/>
        <v>0</v>
      </c>
    </row>
    <row r="251" spans="1:32" s="14" customFormat="1" ht="46.95" customHeight="1" x14ac:dyDescent="0.3">
      <c r="A251" s="27" t="s">
        <v>488</v>
      </c>
      <c r="B251" s="18" t="s">
        <v>192</v>
      </c>
      <c r="C251" s="43"/>
      <c r="D251" s="37"/>
      <c r="E251" s="67"/>
      <c r="F251" s="37">
        <f t="shared" ref="F251:Y251" si="189">SUM(F252)</f>
        <v>10398.959999999999</v>
      </c>
      <c r="G251" s="82">
        <v>0</v>
      </c>
      <c r="H251" s="82">
        <v>0</v>
      </c>
      <c r="I251" s="82">
        <v>0</v>
      </c>
      <c r="J251" s="82">
        <v>0</v>
      </c>
      <c r="K251" s="82">
        <v>0</v>
      </c>
      <c r="L251" s="82">
        <v>0</v>
      </c>
      <c r="M251" s="82">
        <v>0</v>
      </c>
      <c r="N251" s="82">
        <v>0</v>
      </c>
      <c r="O251" s="82">
        <v>0</v>
      </c>
      <c r="P251" s="82">
        <f t="shared" si="189"/>
        <v>0</v>
      </c>
      <c r="Q251" s="32">
        <f t="shared" si="189"/>
        <v>0</v>
      </c>
      <c r="R251" s="32">
        <f t="shared" si="189"/>
        <v>0</v>
      </c>
      <c r="S251" s="32">
        <f t="shared" si="189"/>
        <v>0</v>
      </c>
      <c r="T251" s="32">
        <f t="shared" si="189"/>
        <v>0</v>
      </c>
      <c r="U251" s="32">
        <f t="shared" si="189"/>
        <v>0</v>
      </c>
      <c r="V251" s="32">
        <f t="shared" si="189"/>
        <v>0</v>
      </c>
      <c r="W251" s="32">
        <f t="shared" si="189"/>
        <v>0</v>
      </c>
      <c r="X251" s="32">
        <f t="shared" si="189"/>
        <v>0</v>
      </c>
      <c r="Y251" s="32">
        <f t="shared" si="189"/>
        <v>10398.959999999999</v>
      </c>
      <c r="Z251" s="95">
        <f t="shared" si="166"/>
        <v>10398.959999999999</v>
      </c>
      <c r="AA251" s="13"/>
      <c r="AD251" s="59">
        <f t="shared" si="151"/>
        <v>10398.959999999999</v>
      </c>
      <c r="AF251" s="59">
        <f t="shared" si="152"/>
        <v>0</v>
      </c>
    </row>
    <row r="252" spans="1:32" ht="46.95" customHeight="1" x14ac:dyDescent="0.3">
      <c r="A252" s="26" t="s">
        <v>489</v>
      </c>
      <c r="B252" s="17" t="s">
        <v>193</v>
      </c>
      <c r="C252" s="22" t="s">
        <v>37</v>
      </c>
      <c r="D252" s="38">
        <v>606</v>
      </c>
      <c r="E252" s="39">
        <v>17.16</v>
      </c>
      <c r="F252" s="38">
        <v>10398.959999999999</v>
      </c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33"/>
      <c r="R252" s="33"/>
      <c r="S252" s="33"/>
      <c r="T252" s="33"/>
      <c r="U252" s="33"/>
      <c r="V252" s="33"/>
      <c r="W252" s="33"/>
      <c r="X252" s="33"/>
      <c r="Y252" s="33">
        <f>$F$251</f>
        <v>10398.959999999999</v>
      </c>
      <c r="Z252" s="96">
        <f t="shared" si="166"/>
        <v>10398.959999999999</v>
      </c>
      <c r="AD252" s="59">
        <f t="shared" si="151"/>
        <v>10398.959999999999</v>
      </c>
      <c r="AF252" s="59">
        <f t="shared" si="152"/>
        <v>0</v>
      </c>
    </row>
    <row r="253" spans="1:32" s="14" customFormat="1" ht="46.95" customHeight="1" x14ac:dyDescent="0.3">
      <c r="A253" s="27" t="s">
        <v>490</v>
      </c>
      <c r="B253" s="18" t="s">
        <v>194</v>
      </c>
      <c r="C253" s="43"/>
      <c r="D253" s="37"/>
      <c r="E253" s="67"/>
      <c r="F253" s="37">
        <f t="shared" ref="F253:Y253" si="190">SUM(F254)</f>
        <v>15047</v>
      </c>
      <c r="G253" s="82">
        <v>0</v>
      </c>
      <c r="H253" s="82">
        <v>0</v>
      </c>
      <c r="I253" s="82">
        <v>0</v>
      </c>
      <c r="J253" s="82">
        <v>0</v>
      </c>
      <c r="K253" s="82">
        <v>0</v>
      </c>
      <c r="L253" s="82">
        <v>0</v>
      </c>
      <c r="M253" s="82">
        <v>0</v>
      </c>
      <c r="N253" s="82">
        <v>0</v>
      </c>
      <c r="O253" s="82">
        <v>0</v>
      </c>
      <c r="P253" s="82">
        <f t="shared" si="190"/>
        <v>0</v>
      </c>
      <c r="Q253" s="32">
        <f t="shared" si="190"/>
        <v>0</v>
      </c>
      <c r="R253" s="32">
        <f t="shared" si="190"/>
        <v>0</v>
      </c>
      <c r="S253" s="32">
        <f t="shared" si="190"/>
        <v>0</v>
      </c>
      <c r="T253" s="32">
        <f t="shared" si="190"/>
        <v>0</v>
      </c>
      <c r="U253" s="32">
        <f t="shared" si="190"/>
        <v>0</v>
      </c>
      <c r="V253" s="32">
        <f t="shared" si="190"/>
        <v>0</v>
      </c>
      <c r="W253" s="32">
        <f t="shared" si="190"/>
        <v>0</v>
      </c>
      <c r="X253" s="32">
        <f t="shared" si="190"/>
        <v>0</v>
      </c>
      <c r="Y253" s="32">
        <f t="shared" si="190"/>
        <v>15047</v>
      </c>
      <c r="Z253" s="95">
        <f t="shared" si="166"/>
        <v>15047</v>
      </c>
      <c r="AA253" s="13"/>
      <c r="AD253" s="59">
        <f t="shared" si="151"/>
        <v>15047</v>
      </c>
      <c r="AF253" s="59">
        <f t="shared" si="152"/>
        <v>0</v>
      </c>
    </row>
    <row r="254" spans="1:32" ht="46.95" customHeight="1" x14ac:dyDescent="0.3">
      <c r="A254" s="26" t="s">
        <v>491</v>
      </c>
      <c r="B254" s="17" t="s">
        <v>194</v>
      </c>
      <c r="C254" s="22" t="s">
        <v>24</v>
      </c>
      <c r="D254" s="38">
        <v>1</v>
      </c>
      <c r="E254" s="39">
        <v>15047</v>
      </c>
      <c r="F254" s="38">
        <v>15047</v>
      </c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33"/>
      <c r="R254" s="33"/>
      <c r="S254" s="33"/>
      <c r="T254" s="33"/>
      <c r="U254" s="33"/>
      <c r="V254" s="33"/>
      <c r="W254" s="33"/>
      <c r="X254" s="33"/>
      <c r="Y254" s="33">
        <f>F254</f>
        <v>15047</v>
      </c>
      <c r="Z254" s="96">
        <f t="shared" si="166"/>
        <v>15047</v>
      </c>
      <c r="AD254" s="59">
        <f t="shared" si="151"/>
        <v>15047</v>
      </c>
      <c r="AF254" s="59">
        <f t="shared" si="152"/>
        <v>0</v>
      </c>
    </row>
    <row r="255" spans="1:32" s="14" customFormat="1" ht="46.95" customHeight="1" x14ac:dyDescent="0.3">
      <c r="A255" s="27" t="s">
        <v>492</v>
      </c>
      <c r="B255" s="18" t="s">
        <v>195</v>
      </c>
      <c r="C255" s="43"/>
      <c r="D255" s="37"/>
      <c r="E255" s="67"/>
      <c r="F255" s="37">
        <f t="shared" ref="F255:Y255" si="191">SUM(F256)</f>
        <v>19296.21</v>
      </c>
      <c r="G255" s="82">
        <v>0</v>
      </c>
      <c r="H255" s="82">
        <v>0</v>
      </c>
      <c r="I255" s="82">
        <v>0</v>
      </c>
      <c r="J255" s="82">
        <v>0</v>
      </c>
      <c r="K255" s="82">
        <v>0</v>
      </c>
      <c r="L255" s="82">
        <v>0</v>
      </c>
      <c r="M255" s="82">
        <v>0</v>
      </c>
      <c r="N255" s="82">
        <v>0</v>
      </c>
      <c r="O255" s="82">
        <v>0</v>
      </c>
      <c r="P255" s="82">
        <f t="shared" si="191"/>
        <v>0</v>
      </c>
      <c r="Q255" s="32">
        <f t="shared" si="191"/>
        <v>0</v>
      </c>
      <c r="R255" s="32">
        <f t="shared" si="191"/>
        <v>0</v>
      </c>
      <c r="S255" s="32">
        <f t="shared" si="191"/>
        <v>0</v>
      </c>
      <c r="T255" s="32">
        <f t="shared" si="191"/>
        <v>0</v>
      </c>
      <c r="U255" s="32">
        <f t="shared" si="191"/>
        <v>0</v>
      </c>
      <c r="V255" s="32">
        <f t="shared" si="191"/>
        <v>0</v>
      </c>
      <c r="W255" s="32">
        <f t="shared" si="191"/>
        <v>0</v>
      </c>
      <c r="X255" s="32">
        <f t="shared" si="191"/>
        <v>0</v>
      </c>
      <c r="Y255" s="32">
        <f t="shared" si="191"/>
        <v>19296.21</v>
      </c>
      <c r="Z255" s="95">
        <f t="shared" si="166"/>
        <v>19296.21</v>
      </c>
      <c r="AA255" s="13"/>
      <c r="AD255" s="59">
        <f t="shared" si="151"/>
        <v>19296.21</v>
      </c>
      <c r="AF255" s="59">
        <f t="shared" si="152"/>
        <v>0</v>
      </c>
    </row>
    <row r="256" spans="1:32" ht="54.6" customHeight="1" x14ac:dyDescent="0.3">
      <c r="A256" s="26" t="s">
        <v>493</v>
      </c>
      <c r="B256" s="17" t="s">
        <v>196</v>
      </c>
      <c r="C256" s="22" t="s">
        <v>32</v>
      </c>
      <c r="D256" s="38">
        <v>97</v>
      </c>
      <c r="E256" s="39">
        <v>198.93</v>
      </c>
      <c r="F256" s="38">
        <v>19296.21</v>
      </c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33"/>
      <c r="R256" s="33"/>
      <c r="S256" s="33"/>
      <c r="T256" s="33"/>
      <c r="U256" s="33"/>
      <c r="V256" s="33"/>
      <c r="W256" s="33"/>
      <c r="X256" s="33"/>
      <c r="Y256" s="33">
        <f>F256</f>
        <v>19296.21</v>
      </c>
      <c r="Z256" s="96">
        <f t="shared" si="166"/>
        <v>19296.21</v>
      </c>
      <c r="AD256" s="59">
        <f t="shared" si="151"/>
        <v>19296.21</v>
      </c>
      <c r="AF256" s="59">
        <f t="shared" si="152"/>
        <v>0</v>
      </c>
    </row>
    <row r="257" spans="1:32" s="14" customFormat="1" ht="46.95" customHeight="1" x14ac:dyDescent="0.3">
      <c r="A257" s="27">
        <v>11.07</v>
      </c>
      <c r="B257" s="18" t="s">
        <v>494</v>
      </c>
      <c r="C257" s="43"/>
      <c r="D257" s="37"/>
      <c r="E257" s="67"/>
      <c r="F257" s="37">
        <f t="shared" ref="F257:Y257" si="192">SUM(F258)</f>
        <v>93447.12</v>
      </c>
      <c r="G257" s="82">
        <v>0</v>
      </c>
      <c r="H257" s="82">
        <v>0</v>
      </c>
      <c r="I257" s="82">
        <v>0</v>
      </c>
      <c r="J257" s="82">
        <v>0</v>
      </c>
      <c r="K257" s="82">
        <v>0</v>
      </c>
      <c r="L257" s="82">
        <v>0</v>
      </c>
      <c r="M257" s="82">
        <v>0</v>
      </c>
      <c r="N257" s="82">
        <v>0</v>
      </c>
      <c r="O257" s="82">
        <v>0</v>
      </c>
      <c r="P257" s="82">
        <f t="shared" si="192"/>
        <v>0</v>
      </c>
      <c r="Q257" s="32">
        <f t="shared" si="192"/>
        <v>0</v>
      </c>
      <c r="R257" s="32">
        <f t="shared" si="192"/>
        <v>0</v>
      </c>
      <c r="S257" s="32">
        <f t="shared" si="192"/>
        <v>0</v>
      </c>
      <c r="T257" s="32">
        <f t="shared" si="192"/>
        <v>0</v>
      </c>
      <c r="U257" s="32">
        <f t="shared" si="192"/>
        <v>0</v>
      </c>
      <c r="V257" s="32">
        <f t="shared" si="192"/>
        <v>0</v>
      </c>
      <c r="W257" s="32">
        <f t="shared" si="192"/>
        <v>0</v>
      </c>
      <c r="X257" s="32">
        <f t="shared" si="192"/>
        <v>46723.56</v>
      </c>
      <c r="Y257" s="32">
        <f t="shared" si="192"/>
        <v>46723.56</v>
      </c>
      <c r="Z257" s="95">
        <f t="shared" si="166"/>
        <v>93447.12</v>
      </c>
      <c r="AA257" s="13"/>
      <c r="AD257" s="59">
        <f t="shared" si="151"/>
        <v>93447.12</v>
      </c>
      <c r="AF257" s="59">
        <f t="shared" si="152"/>
        <v>0</v>
      </c>
    </row>
    <row r="258" spans="1:32" ht="46.95" customHeight="1" x14ac:dyDescent="0.3">
      <c r="A258" s="26" t="s">
        <v>495</v>
      </c>
      <c r="B258" s="17" t="s">
        <v>496</v>
      </c>
      <c r="C258" s="22" t="s">
        <v>37</v>
      </c>
      <c r="D258" s="38">
        <v>793</v>
      </c>
      <c r="E258" s="39">
        <v>117.84</v>
      </c>
      <c r="F258" s="38">
        <f t="shared" ref="F258" si="193">ROUND(D258*E258,2)</f>
        <v>93447.12</v>
      </c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33"/>
      <c r="R258" s="33"/>
      <c r="S258" s="33"/>
      <c r="T258" s="33"/>
      <c r="U258" s="33"/>
      <c r="V258" s="33"/>
      <c r="W258" s="33"/>
      <c r="X258" s="33">
        <f>$F$258/2</f>
        <v>46723.56</v>
      </c>
      <c r="Y258" s="33">
        <f>$F$258/2</f>
        <v>46723.56</v>
      </c>
      <c r="Z258" s="96">
        <f t="shared" si="166"/>
        <v>93447.12</v>
      </c>
      <c r="AD258" s="59">
        <f t="shared" si="151"/>
        <v>93447.12</v>
      </c>
      <c r="AF258" s="59">
        <f t="shared" si="152"/>
        <v>0</v>
      </c>
    </row>
    <row r="259" spans="1:32" ht="46.95" customHeight="1" x14ac:dyDescent="0.3">
      <c r="A259" s="28" t="s">
        <v>497</v>
      </c>
      <c r="B259" s="19" t="s">
        <v>197</v>
      </c>
      <c r="C259" s="42"/>
      <c r="D259" s="36"/>
      <c r="E259" s="39"/>
      <c r="F259" s="46">
        <f t="shared" ref="F259:Y259" si="194">SUM(F260:F261)</f>
        <v>85297.08</v>
      </c>
      <c r="G259" s="81">
        <v>43398.54</v>
      </c>
      <c r="H259" s="81">
        <v>2513.91</v>
      </c>
      <c r="I259" s="81">
        <v>2513.91</v>
      </c>
      <c r="J259" s="81">
        <v>2513.91</v>
      </c>
      <c r="K259" s="81">
        <v>2513.91</v>
      </c>
      <c r="L259" s="81">
        <v>2513.91</v>
      </c>
      <c r="M259" s="81">
        <v>2513.91</v>
      </c>
      <c r="N259" s="81">
        <v>2513.91</v>
      </c>
      <c r="O259" s="81">
        <v>2513.91</v>
      </c>
      <c r="P259" s="81">
        <f t="shared" si="194"/>
        <v>2513.91</v>
      </c>
      <c r="Q259" s="60">
        <f t="shared" si="194"/>
        <v>2141.4833333333308</v>
      </c>
      <c r="R259" s="60">
        <f t="shared" si="194"/>
        <v>2141.4833333333308</v>
      </c>
      <c r="S259" s="60">
        <f t="shared" si="194"/>
        <v>2141.4833333333308</v>
      </c>
      <c r="T259" s="60">
        <f t="shared" si="194"/>
        <v>2141.4833333333308</v>
      </c>
      <c r="U259" s="60">
        <f t="shared" si="194"/>
        <v>2141.4833333333308</v>
      </c>
      <c r="V259" s="60">
        <f t="shared" si="194"/>
        <v>2141.4833333333308</v>
      </c>
      <c r="W259" s="60">
        <f t="shared" si="194"/>
        <v>2141.4833333333308</v>
      </c>
      <c r="X259" s="60">
        <f t="shared" si="194"/>
        <v>2141.4833333333308</v>
      </c>
      <c r="Y259" s="60">
        <f t="shared" si="194"/>
        <v>2141.4833333333308</v>
      </c>
      <c r="Z259" s="94">
        <f t="shared" si="166"/>
        <v>85297.08000000006</v>
      </c>
      <c r="AD259" s="59">
        <f t="shared" ref="AD259:AD312" si="195">SUM(G259:Y259)</f>
        <v>85297.08000000006</v>
      </c>
      <c r="AF259" s="59">
        <f t="shared" ref="AF259:AF312" si="196">F259-AD259</f>
        <v>0</v>
      </c>
    </row>
    <row r="260" spans="1:32" s="14" customFormat="1" ht="46.95" customHeight="1" x14ac:dyDescent="0.3">
      <c r="A260" s="26" t="s">
        <v>498</v>
      </c>
      <c r="B260" s="17" t="s">
        <v>198</v>
      </c>
      <c r="C260" s="22" t="s">
        <v>37</v>
      </c>
      <c r="D260" s="38">
        <v>1</v>
      </c>
      <c r="E260" s="39">
        <v>1500</v>
      </c>
      <c r="F260" s="38">
        <v>1500</v>
      </c>
      <c r="G260" s="83">
        <v>1500</v>
      </c>
      <c r="H260" s="83"/>
      <c r="I260" s="83"/>
      <c r="J260" s="83"/>
      <c r="K260" s="83"/>
      <c r="L260" s="83"/>
      <c r="M260" s="83"/>
      <c r="N260" s="83"/>
      <c r="O260" s="83"/>
      <c r="P260" s="83"/>
      <c r="Q260" s="33"/>
      <c r="R260" s="33"/>
      <c r="S260" s="33"/>
      <c r="T260" s="33"/>
      <c r="U260" s="33"/>
      <c r="V260" s="33"/>
      <c r="W260" s="33"/>
      <c r="X260" s="33"/>
      <c r="Y260" s="33"/>
      <c r="Z260" s="96">
        <f t="shared" si="166"/>
        <v>1500</v>
      </c>
      <c r="AA260" s="13"/>
      <c r="AD260" s="59">
        <f t="shared" si="195"/>
        <v>1500</v>
      </c>
      <c r="AF260" s="59">
        <f t="shared" si="196"/>
        <v>0</v>
      </c>
    </row>
    <row r="261" spans="1:32" ht="46.95" customHeight="1" x14ac:dyDescent="0.3">
      <c r="A261" s="26" t="s">
        <v>499</v>
      </c>
      <c r="B261" s="17" t="s">
        <v>199</v>
      </c>
      <c r="C261" s="22" t="s">
        <v>24</v>
      </c>
      <c r="D261" s="38">
        <v>1</v>
      </c>
      <c r="E261" s="39">
        <v>83797.08</v>
      </c>
      <c r="F261" s="38">
        <v>83797.08</v>
      </c>
      <c r="G261" s="83">
        <v>41898.54</v>
      </c>
      <c r="H261" s="83">
        <v>2513.91</v>
      </c>
      <c r="I261" s="83">
        <v>2513.91</v>
      </c>
      <c r="J261" s="83">
        <v>2513.91</v>
      </c>
      <c r="K261" s="83">
        <v>2513.91</v>
      </c>
      <c r="L261" s="83">
        <v>2513.91</v>
      </c>
      <c r="M261" s="83">
        <v>2513.91</v>
      </c>
      <c r="N261" s="83">
        <v>2513.91</v>
      </c>
      <c r="O261" s="83">
        <v>2513.91</v>
      </c>
      <c r="P261" s="83">
        <v>2513.91</v>
      </c>
      <c r="Q261" s="33">
        <f>(F261-SUM(G261:P261))/9</f>
        <v>2141.4833333333308</v>
      </c>
      <c r="R261" s="33">
        <f>Q261</f>
        <v>2141.4833333333308</v>
      </c>
      <c r="S261" s="33">
        <f>Q261</f>
        <v>2141.4833333333308</v>
      </c>
      <c r="T261" s="33">
        <f>Q261</f>
        <v>2141.4833333333308</v>
      </c>
      <c r="U261" s="33">
        <f>Q261</f>
        <v>2141.4833333333308</v>
      </c>
      <c r="V261" s="33">
        <f>Q261</f>
        <v>2141.4833333333308</v>
      </c>
      <c r="W261" s="33">
        <f>Q261</f>
        <v>2141.4833333333308</v>
      </c>
      <c r="X261" s="33">
        <f>Q261</f>
        <v>2141.4833333333308</v>
      </c>
      <c r="Y261" s="33">
        <f>Q261</f>
        <v>2141.4833333333308</v>
      </c>
      <c r="Z261" s="96">
        <f t="shared" si="166"/>
        <v>83797.08000000006</v>
      </c>
      <c r="AD261" s="59">
        <f t="shared" si="195"/>
        <v>83797.08000000006</v>
      </c>
      <c r="AF261" s="59">
        <f t="shared" si="196"/>
        <v>0</v>
      </c>
    </row>
    <row r="262" spans="1:32" ht="46.95" customHeight="1" x14ac:dyDescent="0.3">
      <c r="A262" s="28" t="s">
        <v>500</v>
      </c>
      <c r="B262" s="19" t="s">
        <v>200</v>
      </c>
      <c r="C262" s="42"/>
      <c r="D262" s="36"/>
      <c r="E262" s="39"/>
      <c r="F262" s="46">
        <f t="shared" ref="F262:Y262" si="197">F263+F267+F269+F271+F273+F276+F278</f>
        <v>556069.77</v>
      </c>
      <c r="G262" s="81">
        <v>10557.61</v>
      </c>
      <c r="H262" s="81">
        <v>17739.479999999996</v>
      </c>
      <c r="I262" s="81">
        <v>45678.64</v>
      </c>
      <c r="J262" s="81">
        <v>16878.64</v>
      </c>
      <c r="K262" s="81">
        <v>16878.64</v>
      </c>
      <c r="L262" s="81">
        <v>45678.64</v>
      </c>
      <c r="M262" s="81">
        <v>16878.64</v>
      </c>
      <c r="N262" s="81">
        <v>16878.64</v>
      </c>
      <c r="O262" s="81">
        <v>45678.64</v>
      </c>
      <c r="P262" s="81">
        <f t="shared" si="197"/>
        <v>16878.64</v>
      </c>
      <c r="Q262" s="60">
        <f t="shared" si="197"/>
        <v>16878.64</v>
      </c>
      <c r="R262" s="60">
        <f t="shared" si="197"/>
        <v>45678.64</v>
      </c>
      <c r="S262" s="60">
        <f t="shared" si="197"/>
        <v>16878.64</v>
      </c>
      <c r="T262" s="60">
        <f t="shared" si="197"/>
        <v>16878.64</v>
      </c>
      <c r="U262" s="60">
        <f t="shared" si="197"/>
        <v>45678.64</v>
      </c>
      <c r="V262" s="60">
        <f t="shared" si="197"/>
        <v>34780.550000000003</v>
      </c>
      <c r="W262" s="60">
        <f t="shared" si="197"/>
        <v>34211.74</v>
      </c>
      <c r="X262" s="60">
        <f t="shared" si="197"/>
        <v>61874.03</v>
      </c>
      <c r="Y262" s="60">
        <f t="shared" si="197"/>
        <v>33484.04157894737</v>
      </c>
      <c r="Z262" s="94">
        <f t="shared" si="166"/>
        <v>556069.77157894743</v>
      </c>
      <c r="AD262" s="59">
        <f t="shared" si="195"/>
        <v>556069.77157894743</v>
      </c>
      <c r="AF262" s="59">
        <f t="shared" si="196"/>
        <v>-1.5789474127814174E-3</v>
      </c>
    </row>
    <row r="263" spans="1:32" s="14" customFormat="1" ht="46.95" customHeight="1" x14ac:dyDescent="0.3">
      <c r="A263" s="27" t="s">
        <v>501</v>
      </c>
      <c r="B263" s="18" t="s">
        <v>201</v>
      </c>
      <c r="C263" s="43"/>
      <c r="D263" s="37"/>
      <c r="E263" s="67"/>
      <c r="F263" s="37">
        <f t="shared" ref="F263:Y263" si="198">SUM(F264:F266)</f>
        <v>43122</v>
      </c>
      <c r="G263" s="82">
        <v>2500</v>
      </c>
      <c r="H263" s="82">
        <v>1933.33</v>
      </c>
      <c r="I263" s="82">
        <v>2000</v>
      </c>
      <c r="J263" s="82">
        <v>2000</v>
      </c>
      <c r="K263" s="82">
        <v>2000</v>
      </c>
      <c r="L263" s="82">
        <v>2000</v>
      </c>
      <c r="M263" s="82">
        <v>2000</v>
      </c>
      <c r="N263" s="82">
        <v>2000</v>
      </c>
      <c r="O263" s="82">
        <v>2000</v>
      </c>
      <c r="P263" s="82">
        <f t="shared" si="198"/>
        <v>2000</v>
      </c>
      <c r="Q263" s="32">
        <f t="shared" si="198"/>
        <v>2000</v>
      </c>
      <c r="R263" s="32">
        <f t="shared" si="198"/>
        <v>2000</v>
      </c>
      <c r="S263" s="32">
        <f t="shared" si="198"/>
        <v>2000</v>
      </c>
      <c r="T263" s="32">
        <f t="shared" si="198"/>
        <v>2000</v>
      </c>
      <c r="U263" s="32">
        <f t="shared" si="198"/>
        <v>2000</v>
      </c>
      <c r="V263" s="32">
        <f t="shared" si="198"/>
        <v>2000</v>
      </c>
      <c r="W263" s="32">
        <f t="shared" si="198"/>
        <v>2000</v>
      </c>
      <c r="X263" s="32">
        <f t="shared" si="198"/>
        <v>2000</v>
      </c>
      <c r="Y263" s="32">
        <f t="shared" si="198"/>
        <v>6688.67</v>
      </c>
      <c r="Z263" s="95">
        <f t="shared" si="166"/>
        <v>43122</v>
      </c>
      <c r="AA263" s="13"/>
      <c r="AD263" s="59">
        <f t="shared" si="195"/>
        <v>43122</v>
      </c>
      <c r="AF263" s="59">
        <f t="shared" si="196"/>
        <v>0</v>
      </c>
    </row>
    <row r="264" spans="1:32" ht="46.95" customHeight="1" x14ac:dyDescent="0.3">
      <c r="A264" s="26" t="s">
        <v>502</v>
      </c>
      <c r="B264" s="17" t="s">
        <v>202</v>
      </c>
      <c r="C264" s="22" t="s">
        <v>26</v>
      </c>
      <c r="D264" s="38">
        <v>18</v>
      </c>
      <c r="E264" s="39">
        <v>2000</v>
      </c>
      <c r="F264" s="38">
        <v>36000</v>
      </c>
      <c r="G264" s="83">
        <v>400</v>
      </c>
      <c r="H264" s="83">
        <v>1933.33</v>
      </c>
      <c r="I264" s="83">
        <v>2000</v>
      </c>
      <c r="J264" s="83">
        <v>2000</v>
      </c>
      <c r="K264" s="83">
        <v>2000</v>
      </c>
      <c r="L264" s="83">
        <v>2000</v>
      </c>
      <c r="M264" s="83">
        <v>2000</v>
      </c>
      <c r="N264" s="83">
        <v>2000</v>
      </c>
      <c r="O264" s="83">
        <v>2000</v>
      </c>
      <c r="P264" s="83">
        <v>2000</v>
      </c>
      <c r="Q264" s="33">
        <v>2000</v>
      </c>
      <c r="R264" s="33">
        <v>2000</v>
      </c>
      <c r="S264" s="33">
        <v>2000</v>
      </c>
      <c r="T264" s="33">
        <v>2000</v>
      </c>
      <c r="U264" s="33">
        <v>2000</v>
      </c>
      <c r="V264" s="33">
        <v>2000</v>
      </c>
      <c r="W264" s="33">
        <v>2000</v>
      </c>
      <c r="X264" s="33">
        <v>2000</v>
      </c>
      <c r="Y264" s="33">
        <v>1666.67</v>
      </c>
      <c r="Z264" s="96">
        <f t="shared" si="166"/>
        <v>36000</v>
      </c>
      <c r="AD264" s="59">
        <f t="shared" si="195"/>
        <v>36000</v>
      </c>
      <c r="AF264" s="59">
        <f t="shared" si="196"/>
        <v>0</v>
      </c>
    </row>
    <row r="265" spans="1:32" ht="46.95" customHeight="1" x14ac:dyDescent="0.3">
      <c r="A265" s="26" t="s">
        <v>503</v>
      </c>
      <c r="B265" s="17" t="s">
        <v>203</v>
      </c>
      <c r="C265" s="22" t="s">
        <v>37</v>
      </c>
      <c r="D265" s="38">
        <v>6</v>
      </c>
      <c r="E265" s="39">
        <v>350</v>
      </c>
      <c r="F265" s="38">
        <v>2100</v>
      </c>
      <c r="G265" s="83">
        <v>2100</v>
      </c>
      <c r="H265" s="83"/>
      <c r="I265" s="83"/>
      <c r="J265" s="83"/>
      <c r="K265" s="83"/>
      <c r="L265" s="83"/>
      <c r="M265" s="83"/>
      <c r="N265" s="83"/>
      <c r="O265" s="83"/>
      <c r="P265" s="83"/>
      <c r="Q265" s="33"/>
      <c r="R265" s="33"/>
      <c r="S265" s="33"/>
      <c r="T265" s="33"/>
      <c r="U265" s="33"/>
      <c r="V265" s="33"/>
      <c r="W265" s="33"/>
      <c r="X265" s="33"/>
      <c r="Y265" s="33"/>
      <c r="Z265" s="96">
        <f t="shared" si="166"/>
        <v>2100</v>
      </c>
      <c r="AD265" s="59">
        <f t="shared" si="195"/>
        <v>2100</v>
      </c>
      <c r="AF265" s="59">
        <f t="shared" si="196"/>
        <v>0</v>
      </c>
    </row>
    <row r="266" spans="1:32" ht="46.95" customHeight="1" x14ac:dyDescent="0.3">
      <c r="A266" s="31" t="s">
        <v>504</v>
      </c>
      <c r="B266" s="30" t="s">
        <v>505</v>
      </c>
      <c r="C266" s="45" t="s">
        <v>24</v>
      </c>
      <c r="D266" s="39">
        <v>1</v>
      </c>
      <c r="E266" s="39">
        <v>5022</v>
      </c>
      <c r="F266" s="39">
        <f t="shared" ref="F266" si="199">ROUND(D266*E266,2)</f>
        <v>5022</v>
      </c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34"/>
      <c r="R266" s="34"/>
      <c r="S266" s="34"/>
      <c r="T266" s="34"/>
      <c r="U266" s="34"/>
      <c r="V266" s="34"/>
      <c r="W266" s="34"/>
      <c r="X266" s="34"/>
      <c r="Y266" s="34">
        <f>F266</f>
        <v>5022</v>
      </c>
      <c r="Z266" s="98">
        <f t="shared" si="166"/>
        <v>5022</v>
      </c>
      <c r="AD266" s="59">
        <f t="shared" si="195"/>
        <v>5022</v>
      </c>
      <c r="AF266" s="59">
        <f t="shared" si="196"/>
        <v>0</v>
      </c>
    </row>
    <row r="267" spans="1:32" ht="46.95" customHeight="1" x14ac:dyDescent="0.3">
      <c r="A267" s="27" t="s">
        <v>506</v>
      </c>
      <c r="B267" s="18" t="s">
        <v>204</v>
      </c>
      <c r="C267" s="43"/>
      <c r="D267" s="37"/>
      <c r="E267" s="67"/>
      <c r="F267" s="37">
        <f t="shared" ref="F267:Y267" si="200">SUM(F268)</f>
        <v>28442.03</v>
      </c>
      <c r="G267" s="82">
        <v>1706.52</v>
      </c>
      <c r="H267" s="82">
        <v>1706.52</v>
      </c>
      <c r="I267" s="82">
        <v>1706.52</v>
      </c>
      <c r="J267" s="82">
        <v>1706.52</v>
      </c>
      <c r="K267" s="82">
        <v>1706.52</v>
      </c>
      <c r="L267" s="82">
        <v>1706.52</v>
      </c>
      <c r="M267" s="82">
        <v>1706.52</v>
      </c>
      <c r="N267" s="82">
        <v>1706.52</v>
      </c>
      <c r="O267" s="82">
        <v>1706.52</v>
      </c>
      <c r="P267" s="82">
        <f t="shared" si="200"/>
        <v>1706.52</v>
      </c>
      <c r="Q267" s="32">
        <f t="shared" si="200"/>
        <v>1706.52</v>
      </c>
      <c r="R267" s="32">
        <f t="shared" si="200"/>
        <v>1706.52</v>
      </c>
      <c r="S267" s="32">
        <f t="shared" si="200"/>
        <v>1706.52</v>
      </c>
      <c r="T267" s="32">
        <f t="shared" si="200"/>
        <v>1706.52</v>
      </c>
      <c r="U267" s="32">
        <f t="shared" si="200"/>
        <v>1706.52</v>
      </c>
      <c r="V267" s="32">
        <f t="shared" si="200"/>
        <v>1706.52</v>
      </c>
      <c r="W267" s="32">
        <f t="shared" si="200"/>
        <v>1137.71</v>
      </c>
      <c r="X267" s="32">
        <f t="shared" si="200"/>
        <v>0</v>
      </c>
      <c r="Y267" s="32">
        <f t="shared" si="200"/>
        <v>0</v>
      </c>
      <c r="Z267" s="95">
        <f t="shared" si="166"/>
        <v>28442.030000000002</v>
      </c>
      <c r="AD267" s="59">
        <f t="shared" si="195"/>
        <v>28442.030000000002</v>
      </c>
      <c r="AF267" s="59">
        <f t="shared" si="196"/>
        <v>0</v>
      </c>
    </row>
    <row r="268" spans="1:32" ht="46.95" customHeight="1" x14ac:dyDescent="0.3">
      <c r="A268" s="26" t="s">
        <v>507</v>
      </c>
      <c r="B268" s="17" t="s">
        <v>205</v>
      </c>
      <c r="C268" s="22" t="s">
        <v>24</v>
      </c>
      <c r="D268" s="38">
        <v>1</v>
      </c>
      <c r="E268" s="39">
        <v>28442.03</v>
      </c>
      <c r="F268" s="38">
        <v>28442.03</v>
      </c>
      <c r="G268" s="83">
        <v>1706.52</v>
      </c>
      <c r="H268" s="83">
        <v>1706.52</v>
      </c>
      <c r="I268" s="83">
        <v>1706.52</v>
      </c>
      <c r="J268" s="83">
        <v>1706.52</v>
      </c>
      <c r="K268" s="83">
        <v>1706.52</v>
      </c>
      <c r="L268" s="83">
        <v>1706.52</v>
      </c>
      <c r="M268" s="83">
        <v>1706.52</v>
      </c>
      <c r="N268" s="83">
        <v>1706.52</v>
      </c>
      <c r="O268" s="83">
        <v>1706.52</v>
      </c>
      <c r="P268" s="83">
        <v>1706.52</v>
      </c>
      <c r="Q268" s="33">
        <v>1706.52</v>
      </c>
      <c r="R268" s="33">
        <v>1706.52</v>
      </c>
      <c r="S268" s="33">
        <v>1706.52</v>
      </c>
      <c r="T268" s="33">
        <v>1706.52</v>
      </c>
      <c r="U268" s="33">
        <v>1706.52</v>
      </c>
      <c r="V268" s="33">
        <v>1706.52</v>
      </c>
      <c r="W268" s="33">
        <v>1137.71</v>
      </c>
      <c r="X268" s="33"/>
      <c r="Y268" s="33"/>
      <c r="Z268" s="96">
        <f t="shared" ref="Z268:Z312" si="201">SUM(G268:Y268)</f>
        <v>28442.030000000002</v>
      </c>
      <c r="AD268" s="59">
        <f t="shared" si="195"/>
        <v>28442.030000000002</v>
      </c>
      <c r="AF268" s="59">
        <f t="shared" si="196"/>
        <v>0</v>
      </c>
    </row>
    <row r="269" spans="1:32" ht="46.95" customHeight="1" x14ac:dyDescent="0.3">
      <c r="A269" s="27" t="s">
        <v>508</v>
      </c>
      <c r="B269" s="18" t="s">
        <v>206</v>
      </c>
      <c r="C269" s="43"/>
      <c r="D269" s="37"/>
      <c r="E269" s="67"/>
      <c r="F269" s="37">
        <f t="shared" ref="F269:Y269" si="202">SUM(F270)</f>
        <v>149498.1</v>
      </c>
      <c r="G269" s="82">
        <v>1661.09</v>
      </c>
      <c r="H269" s="82">
        <v>8056.29</v>
      </c>
      <c r="I269" s="82">
        <v>8305.4500000000007</v>
      </c>
      <c r="J269" s="82">
        <v>8305.4500000000007</v>
      </c>
      <c r="K269" s="82">
        <v>8305.4500000000007</v>
      </c>
      <c r="L269" s="82">
        <v>8305.4500000000007</v>
      </c>
      <c r="M269" s="82">
        <v>8305.4500000000007</v>
      </c>
      <c r="N269" s="82">
        <v>8305.4500000000007</v>
      </c>
      <c r="O269" s="82">
        <v>8305.4500000000007</v>
      </c>
      <c r="P269" s="82">
        <f t="shared" si="202"/>
        <v>8305.4500000000007</v>
      </c>
      <c r="Q269" s="32">
        <f t="shared" si="202"/>
        <v>8305.4500000000007</v>
      </c>
      <c r="R269" s="32">
        <f t="shared" si="202"/>
        <v>8305.4500000000007</v>
      </c>
      <c r="S269" s="32">
        <f t="shared" si="202"/>
        <v>8305.4500000000007</v>
      </c>
      <c r="T269" s="32">
        <f t="shared" si="202"/>
        <v>8305.4500000000007</v>
      </c>
      <c r="U269" s="32">
        <f t="shared" si="202"/>
        <v>8305.4500000000007</v>
      </c>
      <c r="V269" s="32">
        <f t="shared" si="202"/>
        <v>8305.4500000000007</v>
      </c>
      <c r="W269" s="32">
        <f t="shared" si="202"/>
        <v>8305.4500000000007</v>
      </c>
      <c r="X269" s="32">
        <f t="shared" si="202"/>
        <v>8305.4500000000007</v>
      </c>
      <c r="Y269" s="32">
        <f t="shared" si="202"/>
        <v>6893.5210526315786</v>
      </c>
      <c r="Z269" s="95">
        <f t="shared" si="201"/>
        <v>149498.10105263157</v>
      </c>
      <c r="AD269" s="59">
        <f t="shared" si="195"/>
        <v>149498.10105263157</v>
      </c>
      <c r="AF269" s="59">
        <f t="shared" si="196"/>
        <v>-1.0526315600145608E-3</v>
      </c>
    </row>
    <row r="270" spans="1:32" ht="46.95" customHeight="1" x14ac:dyDescent="0.3">
      <c r="A270" s="26" t="s">
        <v>509</v>
      </c>
      <c r="B270" s="17" t="s">
        <v>207</v>
      </c>
      <c r="C270" s="22" t="s">
        <v>26</v>
      </c>
      <c r="D270" s="38">
        <v>18</v>
      </c>
      <c r="E270" s="39">
        <v>8305.4500000000007</v>
      </c>
      <c r="F270" s="38">
        <v>149498.1</v>
      </c>
      <c r="G270" s="83">
        <v>1661.09</v>
      </c>
      <c r="H270" s="83">
        <v>8056.29</v>
      </c>
      <c r="I270" s="83">
        <v>8305.4500000000007</v>
      </c>
      <c r="J270" s="83">
        <v>8305.4500000000007</v>
      </c>
      <c r="K270" s="83">
        <v>8305.4500000000007</v>
      </c>
      <c r="L270" s="83">
        <v>8305.4500000000007</v>
      </c>
      <c r="M270" s="83">
        <v>8305.4500000000007</v>
      </c>
      <c r="N270" s="83">
        <v>8305.4500000000007</v>
      </c>
      <c r="O270" s="83">
        <v>8305.4500000000007</v>
      </c>
      <c r="P270" s="83">
        <v>8305.4500000000007</v>
      </c>
      <c r="Q270" s="33">
        <v>8305.4500000000007</v>
      </c>
      <c r="R270" s="33">
        <v>8305.4500000000007</v>
      </c>
      <c r="S270" s="33">
        <v>8305.4500000000007</v>
      </c>
      <c r="T270" s="33">
        <v>8305.4500000000007</v>
      </c>
      <c r="U270" s="33">
        <v>8305.4500000000007</v>
      </c>
      <c r="V270" s="33">
        <v>8305.4500000000007</v>
      </c>
      <c r="W270" s="33">
        <v>8305.4500000000007</v>
      </c>
      <c r="X270" s="33">
        <v>8305.4500000000007</v>
      </c>
      <c r="Y270" s="33">
        <v>6893.5210526315786</v>
      </c>
      <c r="Z270" s="96">
        <f t="shared" si="201"/>
        <v>149498.10105263157</v>
      </c>
      <c r="AD270" s="59">
        <f t="shared" si="195"/>
        <v>149498.10105263157</v>
      </c>
      <c r="AF270" s="59">
        <f t="shared" si="196"/>
        <v>-1.0526315600145608E-3</v>
      </c>
    </row>
    <row r="271" spans="1:32" s="14" customFormat="1" ht="46.95" customHeight="1" x14ac:dyDescent="0.3">
      <c r="A271" s="27" t="s">
        <v>510</v>
      </c>
      <c r="B271" s="18" t="s">
        <v>208</v>
      </c>
      <c r="C271" s="43"/>
      <c r="D271" s="37"/>
      <c r="E271" s="67"/>
      <c r="F271" s="37">
        <f t="shared" ref="F271:Y271" si="203">SUM(F272)</f>
        <v>39600</v>
      </c>
      <c r="G271" s="82">
        <v>440</v>
      </c>
      <c r="H271" s="82">
        <v>2126.67</v>
      </c>
      <c r="I271" s="82">
        <v>2200</v>
      </c>
      <c r="J271" s="82">
        <v>2200</v>
      </c>
      <c r="K271" s="82">
        <v>2200</v>
      </c>
      <c r="L271" s="82">
        <v>2200</v>
      </c>
      <c r="M271" s="82">
        <v>2200</v>
      </c>
      <c r="N271" s="82">
        <v>2200</v>
      </c>
      <c r="O271" s="82">
        <v>2200</v>
      </c>
      <c r="P271" s="82">
        <f t="shared" si="203"/>
        <v>2200</v>
      </c>
      <c r="Q271" s="32">
        <f t="shared" si="203"/>
        <v>2200</v>
      </c>
      <c r="R271" s="32">
        <f t="shared" si="203"/>
        <v>2200</v>
      </c>
      <c r="S271" s="32">
        <f t="shared" si="203"/>
        <v>2200</v>
      </c>
      <c r="T271" s="32">
        <f t="shared" si="203"/>
        <v>2200</v>
      </c>
      <c r="U271" s="32">
        <f t="shared" si="203"/>
        <v>2200</v>
      </c>
      <c r="V271" s="32">
        <f t="shared" si="203"/>
        <v>2200</v>
      </c>
      <c r="W271" s="32">
        <f t="shared" si="203"/>
        <v>2200</v>
      </c>
      <c r="X271" s="32">
        <f t="shared" si="203"/>
        <v>2200</v>
      </c>
      <c r="Y271" s="32">
        <f t="shared" si="203"/>
        <v>1833.3305263157895</v>
      </c>
      <c r="Z271" s="95">
        <f t="shared" si="201"/>
        <v>39600.000526315787</v>
      </c>
      <c r="AA271" s="13"/>
      <c r="AD271" s="59">
        <f t="shared" si="195"/>
        <v>39600.000526315787</v>
      </c>
      <c r="AF271" s="59">
        <f t="shared" si="196"/>
        <v>-5.2631578728323802E-4</v>
      </c>
    </row>
    <row r="272" spans="1:32" ht="46.95" customHeight="1" x14ac:dyDescent="0.3">
      <c r="A272" s="26" t="s">
        <v>511</v>
      </c>
      <c r="B272" s="17" t="s">
        <v>209</v>
      </c>
      <c r="C272" s="22" t="s">
        <v>26</v>
      </c>
      <c r="D272" s="38">
        <v>18</v>
      </c>
      <c r="E272" s="39">
        <v>2200</v>
      </c>
      <c r="F272" s="38">
        <v>39600</v>
      </c>
      <c r="G272" s="83">
        <v>440</v>
      </c>
      <c r="H272" s="83">
        <v>2126.67</v>
      </c>
      <c r="I272" s="83">
        <v>2200</v>
      </c>
      <c r="J272" s="83">
        <v>2200</v>
      </c>
      <c r="K272" s="83">
        <v>2200</v>
      </c>
      <c r="L272" s="83">
        <v>2200</v>
      </c>
      <c r="M272" s="83">
        <v>2200</v>
      </c>
      <c r="N272" s="83">
        <v>2200</v>
      </c>
      <c r="O272" s="83">
        <v>2200</v>
      </c>
      <c r="P272" s="83">
        <v>2200</v>
      </c>
      <c r="Q272" s="33">
        <v>2200</v>
      </c>
      <c r="R272" s="33">
        <v>2200</v>
      </c>
      <c r="S272" s="33">
        <v>2200</v>
      </c>
      <c r="T272" s="33">
        <v>2200</v>
      </c>
      <c r="U272" s="33">
        <v>2200</v>
      </c>
      <c r="V272" s="33">
        <v>2200</v>
      </c>
      <c r="W272" s="33">
        <v>2200</v>
      </c>
      <c r="X272" s="33">
        <v>2200</v>
      </c>
      <c r="Y272" s="33">
        <v>1833.3305263157895</v>
      </c>
      <c r="Z272" s="96">
        <f t="shared" si="201"/>
        <v>39600.000526315787</v>
      </c>
      <c r="AD272" s="59">
        <f t="shared" si="195"/>
        <v>39600.000526315787</v>
      </c>
      <c r="AF272" s="59">
        <f t="shared" si="196"/>
        <v>-5.2631578728323802E-4</v>
      </c>
    </row>
    <row r="273" spans="1:32" ht="46.95" customHeight="1" x14ac:dyDescent="0.3">
      <c r="A273" s="27" t="s">
        <v>512</v>
      </c>
      <c r="B273" s="18" t="s">
        <v>210</v>
      </c>
      <c r="C273" s="43"/>
      <c r="D273" s="37"/>
      <c r="E273" s="67"/>
      <c r="F273" s="37">
        <f t="shared" ref="F273:Y273" si="204">SUM(F274:F275)</f>
        <v>217800</v>
      </c>
      <c r="G273" s="82">
        <v>1250</v>
      </c>
      <c r="H273" s="82">
        <v>3750</v>
      </c>
      <c r="I273" s="82">
        <v>31300</v>
      </c>
      <c r="J273" s="82">
        <v>2500</v>
      </c>
      <c r="K273" s="82">
        <v>2500</v>
      </c>
      <c r="L273" s="82">
        <v>31300</v>
      </c>
      <c r="M273" s="82">
        <v>2500</v>
      </c>
      <c r="N273" s="82">
        <v>2500</v>
      </c>
      <c r="O273" s="82">
        <v>31300</v>
      </c>
      <c r="P273" s="82">
        <f t="shared" si="204"/>
        <v>2500</v>
      </c>
      <c r="Q273" s="32">
        <f t="shared" si="204"/>
        <v>2500</v>
      </c>
      <c r="R273" s="32">
        <f t="shared" si="204"/>
        <v>31300</v>
      </c>
      <c r="S273" s="32">
        <f t="shared" si="204"/>
        <v>2500</v>
      </c>
      <c r="T273" s="32">
        <f t="shared" si="204"/>
        <v>2500</v>
      </c>
      <c r="U273" s="32">
        <f t="shared" si="204"/>
        <v>31300</v>
      </c>
      <c r="V273" s="32">
        <f t="shared" si="204"/>
        <v>2500</v>
      </c>
      <c r="W273" s="32">
        <f t="shared" si="204"/>
        <v>2500</v>
      </c>
      <c r="X273" s="32">
        <f t="shared" si="204"/>
        <v>31300</v>
      </c>
      <c r="Y273" s="32">
        <f t="shared" si="204"/>
        <v>0</v>
      </c>
      <c r="Z273" s="95">
        <f t="shared" si="201"/>
        <v>217800</v>
      </c>
      <c r="AD273" s="59">
        <f t="shared" si="195"/>
        <v>217800</v>
      </c>
      <c r="AF273" s="59">
        <f t="shared" si="196"/>
        <v>0</v>
      </c>
    </row>
    <row r="274" spans="1:32" ht="46.95" customHeight="1" x14ac:dyDescent="0.3">
      <c r="A274" s="26" t="s">
        <v>513</v>
      </c>
      <c r="B274" s="17" t="s">
        <v>211</v>
      </c>
      <c r="C274" s="22" t="s">
        <v>212</v>
      </c>
      <c r="D274" s="38">
        <v>36</v>
      </c>
      <c r="E274" s="39">
        <v>1250</v>
      </c>
      <c r="F274" s="38">
        <v>45000</v>
      </c>
      <c r="G274" s="83">
        <v>1250</v>
      </c>
      <c r="H274" s="83">
        <v>3750</v>
      </c>
      <c r="I274" s="83">
        <v>2500</v>
      </c>
      <c r="J274" s="83">
        <v>2500</v>
      </c>
      <c r="K274" s="83">
        <v>2500</v>
      </c>
      <c r="L274" s="83">
        <v>2500</v>
      </c>
      <c r="M274" s="83">
        <v>2500</v>
      </c>
      <c r="N274" s="83">
        <v>2500</v>
      </c>
      <c r="O274" s="83">
        <v>2500</v>
      </c>
      <c r="P274" s="83">
        <v>2500</v>
      </c>
      <c r="Q274" s="33">
        <v>2500</v>
      </c>
      <c r="R274" s="33">
        <v>2500</v>
      </c>
      <c r="S274" s="33">
        <v>2500</v>
      </c>
      <c r="T274" s="33">
        <v>2500</v>
      </c>
      <c r="U274" s="33">
        <v>2500</v>
      </c>
      <c r="V274" s="33">
        <v>2500</v>
      </c>
      <c r="W274" s="33">
        <v>2500</v>
      </c>
      <c r="X274" s="33">
        <v>2500</v>
      </c>
      <c r="Y274" s="33"/>
      <c r="Z274" s="96">
        <f t="shared" si="201"/>
        <v>45000</v>
      </c>
      <c r="AD274" s="59">
        <f t="shared" si="195"/>
        <v>45000</v>
      </c>
      <c r="AF274" s="59">
        <f t="shared" si="196"/>
        <v>0</v>
      </c>
    </row>
    <row r="275" spans="1:32" ht="46.95" customHeight="1" x14ac:dyDescent="0.3">
      <c r="A275" s="26" t="s">
        <v>514</v>
      </c>
      <c r="B275" s="17" t="s">
        <v>213</v>
      </c>
      <c r="C275" s="22" t="s">
        <v>212</v>
      </c>
      <c r="D275" s="38">
        <v>36</v>
      </c>
      <c r="E275" s="39">
        <v>4800</v>
      </c>
      <c r="F275" s="38">
        <v>172800</v>
      </c>
      <c r="G275" s="83"/>
      <c r="H275" s="83"/>
      <c r="I275" s="83">
        <v>28800</v>
      </c>
      <c r="J275" s="83"/>
      <c r="K275" s="83"/>
      <c r="L275" s="83">
        <v>28800</v>
      </c>
      <c r="M275" s="83"/>
      <c r="N275" s="83"/>
      <c r="O275" s="83">
        <v>28800</v>
      </c>
      <c r="P275" s="83"/>
      <c r="Q275" s="33"/>
      <c r="R275" s="33">
        <v>28800</v>
      </c>
      <c r="S275" s="33"/>
      <c r="T275" s="33"/>
      <c r="U275" s="33">
        <v>28800</v>
      </c>
      <c r="V275" s="33"/>
      <c r="W275" s="33"/>
      <c r="X275" s="33">
        <v>28800</v>
      </c>
      <c r="Y275" s="33"/>
      <c r="Z275" s="96">
        <f t="shared" si="201"/>
        <v>172800</v>
      </c>
      <c r="AD275" s="59">
        <f t="shared" si="195"/>
        <v>172800</v>
      </c>
      <c r="AF275" s="59">
        <f t="shared" si="196"/>
        <v>0</v>
      </c>
    </row>
    <row r="276" spans="1:32" ht="46.95" customHeight="1" x14ac:dyDescent="0.3">
      <c r="A276" s="27" t="s">
        <v>515</v>
      </c>
      <c r="B276" s="18" t="s">
        <v>214</v>
      </c>
      <c r="C276" s="43"/>
      <c r="D276" s="37"/>
      <c r="E276" s="67"/>
      <c r="F276" s="37">
        <f t="shared" ref="F276:Y276" si="205">SUM(F277)</f>
        <v>6000</v>
      </c>
      <c r="G276" s="82">
        <v>3000</v>
      </c>
      <c r="H276" s="82">
        <v>166.67</v>
      </c>
      <c r="I276" s="82">
        <v>166.67</v>
      </c>
      <c r="J276" s="82">
        <v>166.67</v>
      </c>
      <c r="K276" s="82">
        <v>166.67</v>
      </c>
      <c r="L276" s="82">
        <v>166.67</v>
      </c>
      <c r="M276" s="82">
        <v>166.67</v>
      </c>
      <c r="N276" s="82">
        <v>166.67</v>
      </c>
      <c r="O276" s="82">
        <v>166.67</v>
      </c>
      <c r="P276" s="82">
        <f t="shared" si="205"/>
        <v>166.67</v>
      </c>
      <c r="Q276" s="32">
        <f t="shared" si="205"/>
        <v>166.67</v>
      </c>
      <c r="R276" s="32">
        <f t="shared" si="205"/>
        <v>166.67</v>
      </c>
      <c r="S276" s="32">
        <f t="shared" si="205"/>
        <v>166.67</v>
      </c>
      <c r="T276" s="32">
        <f t="shared" si="205"/>
        <v>166.67</v>
      </c>
      <c r="U276" s="32">
        <f t="shared" si="205"/>
        <v>166.67</v>
      </c>
      <c r="V276" s="32">
        <f t="shared" si="205"/>
        <v>166.67</v>
      </c>
      <c r="W276" s="32">
        <f t="shared" si="205"/>
        <v>166.67</v>
      </c>
      <c r="X276" s="32">
        <f t="shared" si="205"/>
        <v>166.67</v>
      </c>
      <c r="Y276" s="32">
        <f t="shared" si="205"/>
        <v>166.61</v>
      </c>
      <c r="Z276" s="95">
        <f t="shared" si="201"/>
        <v>6000.0000000000009</v>
      </c>
      <c r="AD276" s="59">
        <f t="shared" si="195"/>
        <v>6000.0000000000009</v>
      </c>
      <c r="AF276" s="59">
        <f t="shared" si="196"/>
        <v>0</v>
      </c>
    </row>
    <row r="277" spans="1:32" ht="46.95" customHeight="1" x14ac:dyDescent="0.3">
      <c r="A277" s="26" t="s">
        <v>516</v>
      </c>
      <c r="B277" s="17" t="s">
        <v>215</v>
      </c>
      <c r="C277" s="22" t="s">
        <v>24</v>
      </c>
      <c r="D277" s="38">
        <v>1</v>
      </c>
      <c r="E277" s="39">
        <v>6000</v>
      </c>
      <c r="F277" s="38">
        <v>6000</v>
      </c>
      <c r="G277" s="83">
        <v>3000</v>
      </c>
      <c r="H277" s="83">
        <v>166.67</v>
      </c>
      <c r="I277" s="83">
        <v>166.67</v>
      </c>
      <c r="J277" s="83">
        <v>166.67</v>
      </c>
      <c r="K277" s="83">
        <v>166.67</v>
      </c>
      <c r="L277" s="83">
        <v>166.67</v>
      </c>
      <c r="M277" s="83">
        <v>166.67</v>
      </c>
      <c r="N277" s="83">
        <v>166.67</v>
      </c>
      <c r="O277" s="83">
        <v>166.67</v>
      </c>
      <c r="P277" s="83">
        <v>166.67</v>
      </c>
      <c r="Q277" s="33">
        <v>166.67</v>
      </c>
      <c r="R277" s="33">
        <v>166.67</v>
      </c>
      <c r="S277" s="33">
        <v>166.67</v>
      </c>
      <c r="T277" s="33">
        <v>166.67</v>
      </c>
      <c r="U277" s="33">
        <v>166.67</v>
      </c>
      <c r="V277" s="33">
        <v>166.67</v>
      </c>
      <c r="W277" s="33">
        <v>166.67</v>
      </c>
      <c r="X277" s="33">
        <v>166.67</v>
      </c>
      <c r="Y277" s="33">
        <v>166.61</v>
      </c>
      <c r="Z277" s="96">
        <f t="shared" si="201"/>
        <v>6000.0000000000009</v>
      </c>
      <c r="AD277" s="59">
        <f t="shared" si="195"/>
        <v>6000.0000000000009</v>
      </c>
      <c r="AF277" s="59">
        <f t="shared" si="196"/>
        <v>0</v>
      </c>
    </row>
    <row r="278" spans="1:32" ht="46.95" customHeight="1" x14ac:dyDescent="0.3">
      <c r="A278" s="27">
        <v>13.07</v>
      </c>
      <c r="B278" s="18" t="s">
        <v>517</v>
      </c>
      <c r="C278" s="43"/>
      <c r="D278" s="37"/>
      <c r="E278" s="67"/>
      <c r="F278" s="37">
        <f t="shared" ref="F278:Y278" si="206">SUM(F279)</f>
        <v>71607.64</v>
      </c>
      <c r="G278" s="82">
        <v>0</v>
      </c>
      <c r="H278" s="82">
        <v>0</v>
      </c>
      <c r="I278" s="82">
        <v>0</v>
      </c>
      <c r="J278" s="82">
        <v>0</v>
      </c>
      <c r="K278" s="82">
        <v>0</v>
      </c>
      <c r="L278" s="82">
        <v>0</v>
      </c>
      <c r="M278" s="82">
        <v>0</v>
      </c>
      <c r="N278" s="82">
        <v>0</v>
      </c>
      <c r="O278" s="82">
        <v>0</v>
      </c>
      <c r="P278" s="82">
        <f t="shared" si="206"/>
        <v>0</v>
      </c>
      <c r="Q278" s="32">
        <f t="shared" si="206"/>
        <v>0</v>
      </c>
      <c r="R278" s="32">
        <f t="shared" si="206"/>
        <v>0</v>
      </c>
      <c r="S278" s="32">
        <f t="shared" si="206"/>
        <v>0</v>
      </c>
      <c r="T278" s="32">
        <f t="shared" si="206"/>
        <v>0</v>
      </c>
      <c r="U278" s="32">
        <f t="shared" si="206"/>
        <v>0</v>
      </c>
      <c r="V278" s="32">
        <f t="shared" si="206"/>
        <v>17901.91</v>
      </c>
      <c r="W278" s="32">
        <f t="shared" si="206"/>
        <v>17901.91</v>
      </c>
      <c r="X278" s="32">
        <f t="shared" si="206"/>
        <v>17901.91</v>
      </c>
      <c r="Y278" s="32">
        <f t="shared" si="206"/>
        <v>17901.91</v>
      </c>
      <c r="Z278" s="95">
        <f t="shared" si="201"/>
        <v>71607.64</v>
      </c>
      <c r="AD278" s="59">
        <f t="shared" si="195"/>
        <v>71607.64</v>
      </c>
      <c r="AF278" s="59">
        <f t="shared" si="196"/>
        <v>0</v>
      </c>
    </row>
    <row r="279" spans="1:32" ht="46.95" customHeight="1" x14ac:dyDescent="0.3">
      <c r="A279" s="26" t="s">
        <v>518</v>
      </c>
      <c r="B279" s="17" t="s">
        <v>519</v>
      </c>
      <c r="C279" s="22" t="s">
        <v>24</v>
      </c>
      <c r="D279" s="38">
        <v>1</v>
      </c>
      <c r="E279" s="39">
        <v>71607.64</v>
      </c>
      <c r="F279" s="38">
        <f>ROUND(D279*E279,2)</f>
        <v>71607.64</v>
      </c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33"/>
      <c r="R279" s="33"/>
      <c r="S279" s="33"/>
      <c r="T279" s="33"/>
      <c r="U279" s="33"/>
      <c r="V279" s="33">
        <f>$F$279/4</f>
        <v>17901.91</v>
      </c>
      <c r="W279" s="33">
        <f t="shared" ref="W279:Y279" si="207">$F$279/4</f>
        <v>17901.91</v>
      </c>
      <c r="X279" s="33">
        <f t="shared" si="207"/>
        <v>17901.91</v>
      </c>
      <c r="Y279" s="33">
        <f t="shared" si="207"/>
        <v>17901.91</v>
      </c>
      <c r="Z279" s="96">
        <f t="shared" si="201"/>
        <v>71607.64</v>
      </c>
      <c r="AD279" s="59">
        <f t="shared" si="195"/>
        <v>71607.64</v>
      </c>
      <c r="AF279" s="59">
        <f t="shared" si="196"/>
        <v>0</v>
      </c>
    </row>
    <row r="280" spans="1:32" ht="46.95" customHeight="1" x14ac:dyDescent="0.3">
      <c r="A280" s="28" t="s">
        <v>520</v>
      </c>
      <c r="B280" s="19" t="s">
        <v>216</v>
      </c>
      <c r="C280" s="42"/>
      <c r="D280" s="36"/>
      <c r="E280" s="39"/>
      <c r="F280" s="46">
        <f t="shared" ref="F280:Y280" si="208">F281+F294+F297+F307+F309</f>
        <v>7645420.3799999999</v>
      </c>
      <c r="G280" s="81">
        <v>428217.88999999996</v>
      </c>
      <c r="H280" s="81">
        <v>1377219.0899999996</v>
      </c>
      <c r="I280" s="81">
        <v>1209516.1499999999</v>
      </c>
      <c r="J280" s="81">
        <v>188849.06</v>
      </c>
      <c r="K280" s="81">
        <v>179103.81</v>
      </c>
      <c r="L280" s="81">
        <v>354561.81</v>
      </c>
      <c r="M280" s="81">
        <v>208372.65999999997</v>
      </c>
      <c r="N280" s="81">
        <v>256453.40999999997</v>
      </c>
      <c r="O280" s="81">
        <v>133193.60000000001</v>
      </c>
      <c r="P280" s="81">
        <f t="shared" si="208"/>
        <v>133621.62</v>
      </c>
      <c r="Q280" s="60">
        <f t="shared" si="208"/>
        <v>115973.11</v>
      </c>
      <c r="R280" s="60">
        <f t="shared" si="208"/>
        <v>115973.11</v>
      </c>
      <c r="S280" s="60">
        <f t="shared" si="208"/>
        <v>367573.46499999991</v>
      </c>
      <c r="T280" s="60">
        <f t="shared" si="208"/>
        <v>961263.97499999986</v>
      </c>
      <c r="U280" s="60">
        <f t="shared" si="208"/>
        <v>667840.25999999978</v>
      </c>
      <c r="V280" s="60">
        <f t="shared" si="208"/>
        <v>599768.0299999998</v>
      </c>
      <c r="W280" s="60">
        <f t="shared" si="208"/>
        <v>115973.11</v>
      </c>
      <c r="X280" s="60">
        <f t="shared" si="208"/>
        <v>115973.11</v>
      </c>
      <c r="Y280" s="60">
        <f t="shared" si="208"/>
        <v>115973.11</v>
      </c>
      <c r="Z280" s="94">
        <f t="shared" si="201"/>
        <v>7645420.3799999999</v>
      </c>
      <c r="AD280" s="59">
        <f t="shared" si="195"/>
        <v>7645420.3799999999</v>
      </c>
      <c r="AF280" s="59">
        <f t="shared" si="196"/>
        <v>0</v>
      </c>
    </row>
    <row r="281" spans="1:32" ht="46.95" customHeight="1" x14ac:dyDescent="0.3">
      <c r="A281" s="27" t="s">
        <v>521</v>
      </c>
      <c r="B281" s="18" t="s">
        <v>217</v>
      </c>
      <c r="C281" s="43"/>
      <c r="D281" s="37"/>
      <c r="E281" s="67"/>
      <c r="F281" s="37">
        <f t="shared" ref="F281:Y281" si="209">SUM(F282:F293)</f>
        <v>5331715.74</v>
      </c>
      <c r="G281" s="82">
        <v>427620.93999999994</v>
      </c>
      <c r="H281" s="82">
        <v>1191817.9899999998</v>
      </c>
      <c r="I281" s="82">
        <v>1076812.44</v>
      </c>
      <c r="J281" s="82">
        <v>59429.31</v>
      </c>
      <c r="K281" s="82">
        <v>49684.060000000005</v>
      </c>
      <c r="L281" s="82">
        <v>224319.31</v>
      </c>
      <c r="M281" s="82">
        <v>72460.489999999991</v>
      </c>
      <c r="N281" s="82">
        <v>123259.81</v>
      </c>
      <c r="O281" s="82">
        <v>0</v>
      </c>
      <c r="P281" s="82">
        <f t="shared" si="209"/>
        <v>0</v>
      </c>
      <c r="Q281" s="32">
        <f t="shared" si="209"/>
        <v>0</v>
      </c>
      <c r="R281" s="32">
        <f t="shared" si="209"/>
        <v>0</v>
      </c>
      <c r="S281" s="32">
        <f t="shared" si="209"/>
        <v>225358.45499999996</v>
      </c>
      <c r="T281" s="32">
        <f t="shared" si="209"/>
        <v>845290.86499999987</v>
      </c>
      <c r="U281" s="32">
        <f t="shared" si="209"/>
        <v>551867.14999999991</v>
      </c>
      <c r="V281" s="32">
        <f t="shared" si="209"/>
        <v>483794.91999999993</v>
      </c>
      <c r="W281" s="32">
        <f t="shared" si="209"/>
        <v>0</v>
      </c>
      <c r="X281" s="32">
        <f t="shared" si="209"/>
        <v>0</v>
      </c>
      <c r="Y281" s="32">
        <f t="shared" si="209"/>
        <v>0</v>
      </c>
      <c r="Z281" s="95">
        <f t="shared" si="201"/>
        <v>5331715.74</v>
      </c>
      <c r="AD281" s="59">
        <f t="shared" si="195"/>
        <v>5331715.74</v>
      </c>
      <c r="AF281" s="59">
        <f t="shared" si="196"/>
        <v>0</v>
      </c>
    </row>
    <row r="282" spans="1:32" ht="46.95" customHeight="1" x14ac:dyDescent="0.3">
      <c r="A282" s="26" t="s">
        <v>522</v>
      </c>
      <c r="B282" s="17" t="s">
        <v>116</v>
      </c>
      <c r="C282" s="22" t="s">
        <v>28</v>
      </c>
      <c r="D282" s="38">
        <v>45298.28</v>
      </c>
      <c r="E282" s="39">
        <v>1.66</v>
      </c>
      <c r="F282" s="38">
        <f>ROUND(D282*E282,2)</f>
        <v>75195.14</v>
      </c>
      <c r="G282" s="83">
        <v>29777.03</v>
      </c>
      <c r="H282" s="83">
        <v>15043.6</v>
      </c>
      <c r="I282" s="83">
        <v>14188.6</v>
      </c>
      <c r="J282" s="83"/>
      <c r="K282" s="83"/>
      <c r="L282" s="83">
        <v>3002.11</v>
      </c>
      <c r="M282" s="83">
        <v>3201.56</v>
      </c>
      <c r="N282" s="83"/>
      <c r="O282" s="83"/>
      <c r="P282" s="83"/>
      <c r="Q282" s="2"/>
      <c r="R282" s="2"/>
      <c r="S282" s="33">
        <f t="shared" ref="S282:S287" si="210">(F282-SUM(G282:O282))/2</f>
        <v>4991.1200000000026</v>
      </c>
      <c r="T282" s="33">
        <f>S282</f>
        <v>4991.1200000000026</v>
      </c>
      <c r="U282" s="33"/>
      <c r="V282" s="33"/>
      <c r="W282" s="2"/>
      <c r="X282" s="33"/>
      <c r="Y282" s="33"/>
      <c r="Z282" s="96">
        <f t="shared" si="201"/>
        <v>75195.139999999985</v>
      </c>
      <c r="AD282" s="59">
        <f t="shared" si="195"/>
        <v>75195.139999999985</v>
      </c>
      <c r="AF282" s="59">
        <f t="shared" si="196"/>
        <v>0</v>
      </c>
    </row>
    <row r="283" spans="1:32" ht="46.95" customHeight="1" x14ac:dyDescent="0.3">
      <c r="A283" s="26" t="s">
        <v>523</v>
      </c>
      <c r="B283" s="17" t="s">
        <v>218</v>
      </c>
      <c r="C283" s="22" t="s">
        <v>47</v>
      </c>
      <c r="D283" s="38">
        <v>11324.56</v>
      </c>
      <c r="E283" s="39">
        <v>11.35</v>
      </c>
      <c r="F283" s="38">
        <f>ROUND(D283*E283,2)</f>
        <v>128533.75999999999</v>
      </c>
      <c r="G283" s="83">
        <v>46788.35</v>
      </c>
      <c r="H283" s="83">
        <v>25714.679999999997</v>
      </c>
      <c r="I283" s="83">
        <v>21557.51</v>
      </c>
      <c r="J283" s="83"/>
      <c r="K283" s="83">
        <v>2695.63</v>
      </c>
      <c r="L283" s="83">
        <v>5131.68</v>
      </c>
      <c r="M283" s="83">
        <v>5472.52</v>
      </c>
      <c r="N283" s="83"/>
      <c r="O283" s="83"/>
      <c r="P283" s="83"/>
      <c r="Q283" s="2"/>
      <c r="R283" s="2"/>
      <c r="S283" s="33">
        <f t="shared" si="210"/>
        <v>10586.694999999992</v>
      </c>
      <c r="T283" s="33">
        <f t="shared" ref="T283:T287" si="211">S283</f>
        <v>10586.694999999992</v>
      </c>
      <c r="U283" s="33"/>
      <c r="V283" s="33"/>
      <c r="W283" s="2"/>
      <c r="X283" s="33"/>
      <c r="Y283" s="33"/>
      <c r="Z283" s="96">
        <f t="shared" si="201"/>
        <v>128533.75999999999</v>
      </c>
      <c r="AD283" s="59">
        <f t="shared" si="195"/>
        <v>128533.75999999999</v>
      </c>
      <c r="AF283" s="59">
        <f t="shared" si="196"/>
        <v>0</v>
      </c>
    </row>
    <row r="284" spans="1:32" ht="46.95" customHeight="1" x14ac:dyDescent="0.3">
      <c r="A284" s="26" t="s">
        <v>524</v>
      </c>
      <c r="B284" s="17" t="s">
        <v>219</v>
      </c>
      <c r="C284" s="22" t="s">
        <v>28</v>
      </c>
      <c r="D284" s="38">
        <v>45298.28</v>
      </c>
      <c r="E284" s="39">
        <v>8.5399999999999991</v>
      </c>
      <c r="F284" s="38">
        <f t="shared" ref="F284:F292" si="212">ROUND(D284*E284,2)</f>
        <v>386847.31</v>
      </c>
      <c r="G284" s="83">
        <v>153190.26</v>
      </c>
      <c r="H284" s="83">
        <v>77392.98</v>
      </c>
      <c r="I284" s="83">
        <v>59165.120000000003</v>
      </c>
      <c r="J284" s="83"/>
      <c r="K284" s="83">
        <v>13829.25</v>
      </c>
      <c r="L284" s="83">
        <v>15444.59</v>
      </c>
      <c r="M284" s="83">
        <v>16470.669999999998</v>
      </c>
      <c r="N284" s="83"/>
      <c r="O284" s="83"/>
      <c r="P284" s="83"/>
      <c r="Q284" s="2"/>
      <c r="R284" s="2"/>
      <c r="S284" s="33">
        <f t="shared" si="210"/>
        <v>25677.22</v>
      </c>
      <c r="T284" s="33">
        <f t="shared" si="211"/>
        <v>25677.22</v>
      </c>
      <c r="U284" s="33"/>
      <c r="V284" s="33"/>
      <c r="W284" s="2"/>
      <c r="X284" s="33"/>
      <c r="Y284" s="33"/>
      <c r="Z284" s="96">
        <f t="shared" si="201"/>
        <v>386847.30999999994</v>
      </c>
      <c r="AD284" s="59">
        <f t="shared" si="195"/>
        <v>386847.30999999994</v>
      </c>
      <c r="AF284" s="59">
        <f t="shared" si="196"/>
        <v>0</v>
      </c>
    </row>
    <row r="285" spans="1:32" ht="46.95" customHeight="1" x14ac:dyDescent="0.3">
      <c r="A285" s="26" t="s">
        <v>525</v>
      </c>
      <c r="B285" s="17" t="s">
        <v>128</v>
      </c>
      <c r="C285" s="22" t="s">
        <v>28</v>
      </c>
      <c r="D285" s="38">
        <v>45298.28</v>
      </c>
      <c r="E285" s="39">
        <v>14.72</v>
      </c>
      <c r="F285" s="38">
        <f t="shared" si="212"/>
        <v>666790.68000000005</v>
      </c>
      <c r="G285" s="83">
        <v>40284.22</v>
      </c>
      <c r="H285" s="83">
        <v>357161.37</v>
      </c>
      <c r="I285" s="83">
        <v>101980.16</v>
      </c>
      <c r="J285" s="83"/>
      <c r="K285" s="83">
        <v>23836.83</v>
      </c>
      <c r="L285" s="83">
        <v>26621.119999999999</v>
      </c>
      <c r="M285" s="83">
        <v>28389.73</v>
      </c>
      <c r="N285" s="83"/>
      <c r="O285" s="83"/>
      <c r="P285" s="83"/>
      <c r="Q285" s="2"/>
      <c r="R285" s="2"/>
      <c r="S285" s="33">
        <f t="shared" si="210"/>
        <v>44258.625</v>
      </c>
      <c r="T285" s="33">
        <f t="shared" si="211"/>
        <v>44258.625</v>
      </c>
      <c r="U285" s="33"/>
      <c r="V285" s="33"/>
      <c r="W285" s="2"/>
      <c r="X285" s="33"/>
      <c r="Y285" s="33"/>
      <c r="Z285" s="96">
        <f t="shared" si="201"/>
        <v>666790.68000000005</v>
      </c>
      <c r="AD285" s="59">
        <f t="shared" si="195"/>
        <v>666790.68000000005</v>
      </c>
      <c r="AF285" s="59">
        <f t="shared" si="196"/>
        <v>0</v>
      </c>
    </row>
    <row r="286" spans="1:32" ht="46.95" customHeight="1" x14ac:dyDescent="0.3">
      <c r="A286" s="26" t="s">
        <v>526</v>
      </c>
      <c r="B286" s="17" t="s">
        <v>124</v>
      </c>
      <c r="C286" s="22" t="s">
        <v>28</v>
      </c>
      <c r="D286" s="38">
        <v>45298.28</v>
      </c>
      <c r="E286" s="39">
        <v>10.31</v>
      </c>
      <c r="F286" s="38">
        <f>ROUND(D286*E286,2)</f>
        <v>467025.27</v>
      </c>
      <c r="G286" s="83"/>
      <c r="H286" s="83">
        <v>144025.24</v>
      </c>
      <c r="I286" s="83">
        <v>180825.13</v>
      </c>
      <c r="J286" s="83"/>
      <c r="K286" s="83"/>
      <c r="L286" s="83">
        <v>39748.660000000003</v>
      </c>
      <c r="M286" s="83"/>
      <c r="N286" s="83">
        <v>31331.57</v>
      </c>
      <c r="O286" s="83"/>
      <c r="P286" s="83"/>
      <c r="Q286" s="2"/>
      <c r="R286" s="2"/>
      <c r="S286" s="33">
        <f t="shared" si="210"/>
        <v>35547.334999999992</v>
      </c>
      <c r="T286" s="33">
        <f t="shared" si="211"/>
        <v>35547.334999999992</v>
      </c>
      <c r="U286" s="33"/>
      <c r="V286" s="33"/>
      <c r="W286" s="2"/>
      <c r="X286" s="33"/>
      <c r="Y286" s="33"/>
      <c r="Z286" s="96">
        <f t="shared" si="201"/>
        <v>467025.27</v>
      </c>
      <c r="AD286" s="59">
        <f t="shared" si="195"/>
        <v>467025.27</v>
      </c>
      <c r="AF286" s="59">
        <f t="shared" si="196"/>
        <v>0</v>
      </c>
    </row>
    <row r="287" spans="1:32" ht="46.95" customHeight="1" x14ac:dyDescent="0.3">
      <c r="A287" s="26" t="s">
        <v>527</v>
      </c>
      <c r="B287" s="17" t="s">
        <v>528</v>
      </c>
      <c r="C287" s="22" t="s">
        <v>28</v>
      </c>
      <c r="D287" s="38">
        <v>45298.28</v>
      </c>
      <c r="E287" s="39">
        <v>30.25</v>
      </c>
      <c r="F287" s="38">
        <f t="shared" si="212"/>
        <v>1370272.97</v>
      </c>
      <c r="G287" s="83"/>
      <c r="H287" s="83">
        <v>422576.47</v>
      </c>
      <c r="I287" s="83">
        <v>530549</v>
      </c>
      <c r="J287" s="83"/>
      <c r="K287" s="83"/>
      <c r="L287" s="83">
        <v>116624.34</v>
      </c>
      <c r="M287" s="83"/>
      <c r="N287" s="83">
        <v>91928.24</v>
      </c>
      <c r="O287" s="83"/>
      <c r="P287" s="83"/>
      <c r="Q287" s="2"/>
      <c r="R287" s="2"/>
      <c r="S287" s="33">
        <f t="shared" si="210"/>
        <v>104297.45999999996</v>
      </c>
      <c r="T287" s="33">
        <f t="shared" si="211"/>
        <v>104297.45999999996</v>
      </c>
      <c r="U287" s="33"/>
      <c r="V287" s="33"/>
      <c r="W287" s="2"/>
      <c r="X287" s="33"/>
      <c r="Y287" s="33"/>
      <c r="Z287" s="96">
        <f t="shared" si="201"/>
        <v>1370272.97</v>
      </c>
      <c r="AD287" s="59">
        <f t="shared" si="195"/>
        <v>1370272.97</v>
      </c>
      <c r="AF287" s="59">
        <f t="shared" si="196"/>
        <v>0</v>
      </c>
    </row>
    <row r="288" spans="1:32" ht="46.95" customHeight="1" x14ac:dyDescent="0.3">
      <c r="A288" s="26" t="s">
        <v>529</v>
      </c>
      <c r="B288" s="17" t="s">
        <v>136</v>
      </c>
      <c r="C288" s="22" t="s">
        <v>32</v>
      </c>
      <c r="D288" s="38">
        <v>43660.26</v>
      </c>
      <c r="E288" s="39">
        <v>8.3000000000000007</v>
      </c>
      <c r="F288" s="38">
        <f t="shared" si="212"/>
        <v>362380.16</v>
      </c>
      <c r="G288" s="83"/>
      <c r="H288" s="83"/>
      <c r="I288" s="83">
        <v>60991.8</v>
      </c>
      <c r="J288" s="83">
        <v>32647.47</v>
      </c>
      <c r="K288" s="83"/>
      <c r="L288" s="83"/>
      <c r="M288" s="83"/>
      <c r="N288" s="83"/>
      <c r="O288" s="83"/>
      <c r="P288" s="83"/>
      <c r="Q288" s="2"/>
      <c r="R288" s="2"/>
      <c r="S288" s="2"/>
      <c r="T288" s="33">
        <f>(F288-SUM(G288:O288))/3</f>
        <v>89580.296666666647</v>
      </c>
      <c r="U288" s="33">
        <f>T288</f>
        <v>89580.296666666647</v>
      </c>
      <c r="V288" s="33">
        <f>T288</f>
        <v>89580.296666666647</v>
      </c>
      <c r="W288" s="2"/>
      <c r="X288" s="33"/>
      <c r="Y288" s="33"/>
      <c r="Z288" s="96">
        <f t="shared" si="201"/>
        <v>362380.15999999992</v>
      </c>
      <c r="AD288" s="59">
        <f t="shared" si="195"/>
        <v>362380.15999999992</v>
      </c>
      <c r="AF288" s="59">
        <f t="shared" si="196"/>
        <v>0</v>
      </c>
    </row>
    <row r="289" spans="1:32" ht="46.95" customHeight="1" x14ac:dyDescent="0.3">
      <c r="A289" s="26" t="s">
        <v>530</v>
      </c>
      <c r="B289" s="17" t="s">
        <v>220</v>
      </c>
      <c r="C289" s="22" t="s">
        <v>28</v>
      </c>
      <c r="D289" s="38">
        <v>22195.37</v>
      </c>
      <c r="E289" s="39">
        <v>54.49</v>
      </c>
      <c r="F289" s="38">
        <f t="shared" si="212"/>
        <v>1209425.71</v>
      </c>
      <c r="G289" s="83"/>
      <c r="H289" s="83"/>
      <c r="I289" s="83"/>
      <c r="J289" s="83">
        <v>26781.84</v>
      </c>
      <c r="K289" s="83"/>
      <c r="L289" s="83"/>
      <c r="M289" s="83"/>
      <c r="N289" s="83"/>
      <c r="O289" s="83"/>
      <c r="P289" s="83"/>
      <c r="Q289" s="2"/>
      <c r="R289" s="2"/>
      <c r="S289" s="2"/>
      <c r="T289" s="33">
        <f>(F289-SUM(G289:O289))/3</f>
        <v>394214.62333333329</v>
      </c>
      <c r="U289" s="33">
        <f>T289</f>
        <v>394214.62333333329</v>
      </c>
      <c r="V289" s="33">
        <f>T289</f>
        <v>394214.62333333329</v>
      </c>
      <c r="W289" s="2"/>
      <c r="X289" s="33"/>
      <c r="Y289" s="33"/>
      <c r="Z289" s="96">
        <f t="shared" si="201"/>
        <v>1209425.71</v>
      </c>
      <c r="AD289" s="59">
        <f t="shared" si="195"/>
        <v>1209425.71</v>
      </c>
      <c r="AF289" s="59">
        <f t="shared" si="196"/>
        <v>0</v>
      </c>
    </row>
    <row r="290" spans="1:32" ht="46.95" customHeight="1" x14ac:dyDescent="0.3">
      <c r="A290" s="26" t="s">
        <v>531</v>
      </c>
      <c r="B290" s="17" t="s">
        <v>532</v>
      </c>
      <c r="C290" s="22" t="s">
        <v>28</v>
      </c>
      <c r="D290" s="38">
        <v>17099.02</v>
      </c>
      <c r="E290" s="39">
        <v>4.45</v>
      </c>
      <c r="F290" s="38">
        <f t="shared" si="212"/>
        <v>76090.64</v>
      </c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2"/>
      <c r="R290" s="2"/>
      <c r="S290" s="2"/>
      <c r="T290" s="33">
        <f>(F290-SUM(G290:O290))/2</f>
        <v>38045.32</v>
      </c>
      <c r="U290" s="33">
        <f>T290</f>
        <v>38045.32</v>
      </c>
      <c r="V290" s="33"/>
      <c r="W290" s="2"/>
      <c r="X290" s="33"/>
      <c r="Y290" s="33"/>
      <c r="Z290" s="96">
        <f t="shared" si="201"/>
        <v>76090.64</v>
      </c>
      <c r="AD290" s="59">
        <f t="shared" si="195"/>
        <v>76090.64</v>
      </c>
      <c r="AF290" s="59">
        <f t="shared" si="196"/>
        <v>0</v>
      </c>
    </row>
    <row r="291" spans="1:32" ht="46.95" customHeight="1" x14ac:dyDescent="0.3">
      <c r="A291" s="26" t="s">
        <v>533</v>
      </c>
      <c r="B291" s="17" t="s">
        <v>45</v>
      </c>
      <c r="C291" s="22" t="s">
        <v>28</v>
      </c>
      <c r="D291" s="38">
        <v>5288.03</v>
      </c>
      <c r="E291" s="39">
        <v>13.87</v>
      </c>
      <c r="F291" s="38">
        <f t="shared" si="212"/>
        <v>73344.98</v>
      </c>
      <c r="G291" s="83"/>
      <c r="H291" s="83">
        <v>52812.52</v>
      </c>
      <c r="I291" s="83">
        <v>20532.45</v>
      </c>
      <c r="J291" s="83"/>
      <c r="K291" s="83"/>
      <c r="L291" s="83"/>
      <c r="M291" s="83"/>
      <c r="N291" s="83"/>
      <c r="O291" s="83"/>
      <c r="P291" s="83"/>
      <c r="Q291" s="2"/>
      <c r="R291" s="2"/>
      <c r="S291" s="2"/>
      <c r="T291" s="33">
        <v>0.01</v>
      </c>
      <c r="U291" s="33"/>
      <c r="V291" s="33"/>
      <c r="W291" s="2"/>
      <c r="X291" s="33"/>
      <c r="Y291" s="33"/>
      <c r="Z291" s="96">
        <f t="shared" si="201"/>
        <v>73344.98</v>
      </c>
      <c r="AD291" s="59">
        <f t="shared" si="195"/>
        <v>73344.98</v>
      </c>
      <c r="AF291" s="59">
        <f t="shared" si="196"/>
        <v>0</v>
      </c>
    </row>
    <row r="292" spans="1:32" ht="46.95" customHeight="1" x14ac:dyDescent="0.3">
      <c r="A292" s="26" t="s">
        <v>534</v>
      </c>
      <c r="B292" s="17" t="s">
        <v>145</v>
      </c>
      <c r="C292" s="22" t="s">
        <v>535</v>
      </c>
      <c r="D292" s="38">
        <v>13933.21</v>
      </c>
      <c r="E292" s="39">
        <v>32.71</v>
      </c>
      <c r="F292" s="38">
        <f t="shared" si="212"/>
        <v>455755.3</v>
      </c>
      <c r="G292" s="83">
        <v>157581.07999999999</v>
      </c>
      <c r="H292" s="83">
        <v>97091.13</v>
      </c>
      <c r="I292" s="83">
        <v>87022.67</v>
      </c>
      <c r="J292" s="83"/>
      <c r="K292" s="83">
        <v>9322.35</v>
      </c>
      <c r="L292" s="83">
        <v>17746.810000000001</v>
      </c>
      <c r="M292" s="83">
        <v>18926.009999999998</v>
      </c>
      <c r="N292" s="83"/>
      <c r="O292" s="83"/>
      <c r="P292" s="83"/>
      <c r="Q292" s="2"/>
      <c r="R292" s="2"/>
      <c r="S292" s="2"/>
      <c r="T292" s="33">
        <f>(F292-SUM(G292:O292))</f>
        <v>68065.25</v>
      </c>
      <c r="U292" s="33"/>
      <c r="V292" s="33"/>
      <c r="W292" s="2"/>
      <c r="X292" s="33"/>
      <c r="Y292" s="33"/>
      <c r="Z292" s="96">
        <f t="shared" si="201"/>
        <v>455755.3</v>
      </c>
      <c r="AD292" s="59">
        <f t="shared" si="195"/>
        <v>455755.3</v>
      </c>
      <c r="AF292" s="59">
        <f t="shared" si="196"/>
        <v>0</v>
      </c>
    </row>
    <row r="293" spans="1:32" ht="46.95" customHeight="1" x14ac:dyDescent="0.3">
      <c r="A293" s="26" t="s">
        <v>536</v>
      </c>
      <c r="B293" s="17" t="s">
        <v>537</v>
      </c>
      <c r="C293" s="22" t="s">
        <v>28</v>
      </c>
      <c r="D293" s="38">
        <v>498</v>
      </c>
      <c r="E293" s="39">
        <v>120.59</v>
      </c>
      <c r="F293" s="38">
        <f>ROUND(D293*E293,2)</f>
        <v>60053.82</v>
      </c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2"/>
      <c r="R293" s="2"/>
      <c r="S293" s="2"/>
      <c r="T293" s="33">
        <f>(F293-SUM(G293:O293))/2</f>
        <v>30026.91</v>
      </c>
      <c r="U293" s="33">
        <f>T293</f>
        <v>30026.91</v>
      </c>
      <c r="V293" s="33"/>
      <c r="W293" s="2"/>
      <c r="X293" s="33"/>
      <c r="Y293" s="33"/>
      <c r="Z293" s="96">
        <f t="shared" si="201"/>
        <v>60053.82</v>
      </c>
      <c r="AD293" s="59">
        <f t="shared" si="195"/>
        <v>60053.82</v>
      </c>
      <c r="AF293" s="59">
        <f t="shared" si="196"/>
        <v>0</v>
      </c>
    </row>
    <row r="294" spans="1:32" ht="46.95" customHeight="1" x14ac:dyDescent="0.3">
      <c r="A294" s="27" t="s">
        <v>538</v>
      </c>
      <c r="B294" s="18" t="s">
        <v>221</v>
      </c>
      <c r="C294" s="43"/>
      <c r="D294" s="37"/>
      <c r="E294" s="67"/>
      <c r="F294" s="37">
        <f t="shared" ref="F294:Y294" si="213">SUM(F295:F296)</f>
        <v>2131707.2999999998</v>
      </c>
      <c r="G294" s="82">
        <v>0</v>
      </c>
      <c r="H294" s="82">
        <v>140364.35999999999</v>
      </c>
      <c r="I294" s="82">
        <v>116970.3</v>
      </c>
      <c r="J294" s="82">
        <v>120869.31</v>
      </c>
      <c r="K294" s="82">
        <v>120869.31</v>
      </c>
      <c r="L294" s="82">
        <v>116970.3</v>
      </c>
      <c r="M294" s="82">
        <v>120869.31</v>
      </c>
      <c r="N294" s="82">
        <v>116970.3</v>
      </c>
      <c r="O294" s="82">
        <v>116970.3</v>
      </c>
      <c r="P294" s="82">
        <f t="shared" si="213"/>
        <v>124768.32000000001</v>
      </c>
      <c r="Q294" s="32">
        <f t="shared" si="213"/>
        <v>112204.84333333332</v>
      </c>
      <c r="R294" s="32">
        <f t="shared" si="213"/>
        <v>112204.84333333332</v>
      </c>
      <c r="S294" s="32">
        <f>SUM(S295:S296)</f>
        <v>138446.74333333332</v>
      </c>
      <c r="T294" s="32">
        <f t="shared" si="213"/>
        <v>112204.84333333332</v>
      </c>
      <c r="U294" s="32">
        <f t="shared" si="213"/>
        <v>112204.84333333332</v>
      </c>
      <c r="V294" s="32">
        <f t="shared" si="213"/>
        <v>112204.84333333332</v>
      </c>
      <c r="W294" s="32">
        <f t="shared" si="213"/>
        <v>112204.84333333332</v>
      </c>
      <c r="X294" s="32">
        <f t="shared" si="213"/>
        <v>112204.84333333332</v>
      </c>
      <c r="Y294" s="32">
        <f t="shared" si="213"/>
        <v>112204.84333333332</v>
      </c>
      <c r="Z294" s="95">
        <f t="shared" si="201"/>
        <v>2131707.2999999998</v>
      </c>
      <c r="AD294" s="59">
        <f t="shared" si="195"/>
        <v>2131707.2999999998</v>
      </c>
      <c r="AF294" s="59">
        <f t="shared" si="196"/>
        <v>0</v>
      </c>
    </row>
    <row r="295" spans="1:32" ht="46.95" customHeight="1" x14ac:dyDescent="0.3">
      <c r="A295" s="26" t="s">
        <v>539</v>
      </c>
      <c r="B295" s="17" t="s">
        <v>222</v>
      </c>
      <c r="C295" s="22" t="s">
        <v>223</v>
      </c>
      <c r="D295" s="38">
        <v>540</v>
      </c>
      <c r="E295" s="39">
        <v>3899.01</v>
      </c>
      <c r="F295" s="38">
        <f t="shared" ref="F295" si="214">ROUND(D295*E295,2)</f>
        <v>2105465.4</v>
      </c>
      <c r="G295" s="83"/>
      <c r="H295" s="83">
        <v>140364.35999999999</v>
      </c>
      <c r="I295" s="83">
        <v>116970.3</v>
      </c>
      <c r="J295" s="83">
        <v>120869.31</v>
      </c>
      <c r="K295" s="83">
        <v>120869.31</v>
      </c>
      <c r="L295" s="83">
        <v>116970.3</v>
      </c>
      <c r="M295" s="83">
        <v>120869.31</v>
      </c>
      <c r="N295" s="83">
        <v>116970.3</v>
      </c>
      <c r="O295" s="83">
        <v>116970.3</v>
      </c>
      <c r="P295" s="83">
        <v>124768.32000000001</v>
      </c>
      <c r="Q295" s="33">
        <f>(F295-SUM(G295:P295))/9</f>
        <v>112204.84333333332</v>
      </c>
      <c r="R295" s="33">
        <f>Q295</f>
        <v>112204.84333333332</v>
      </c>
      <c r="S295" s="33">
        <f>Q295</f>
        <v>112204.84333333332</v>
      </c>
      <c r="T295" s="33">
        <f>Q295</f>
        <v>112204.84333333332</v>
      </c>
      <c r="U295" s="33">
        <f>Q295</f>
        <v>112204.84333333332</v>
      </c>
      <c r="V295" s="33">
        <f>Q295</f>
        <v>112204.84333333332</v>
      </c>
      <c r="W295" s="33">
        <f>Q295</f>
        <v>112204.84333333332</v>
      </c>
      <c r="X295" s="33">
        <f>Q295</f>
        <v>112204.84333333332</v>
      </c>
      <c r="Y295" s="33">
        <f>Q295</f>
        <v>112204.84333333332</v>
      </c>
      <c r="Z295" s="96">
        <f t="shared" si="201"/>
        <v>2105465.3999999994</v>
      </c>
      <c r="AD295" s="59">
        <f t="shared" si="195"/>
        <v>2105465.3999999994</v>
      </c>
      <c r="AF295" s="59">
        <f t="shared" si="196"/>
        <v>0</v>
      </c>
    </row>
    <row r="296" spans="1:32" ht="46.95" customHeight="1" x14ac:dyDescent="0.3">
      <c r="A296" s="26" t="s">
        <v>540</v>
      </c>
      <c r="B296" s="17" t="s">
        <v>541</v>
      </c>
      <c r="C296" s="22" t="s">
        <v>24</v>
      </c>
      <c r="D296" s="38">
        <v>1</v>
      </c>
      <c r="E296" s="39">
        <v>26241.9</v>
      </c>
      <c r="F296" s="38">
        <f>ROUND(D296*E296,2)</f>
        <v>26241.9</v>
      </c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R296" s="33"/>
      <c r="S296" s="33">
        <f>(F296-SUM(G296:O296))</f>
        <v>26241.9</v>
      </c>
      <c r="T296" s="33"/>
      <c r="U296" s="33"/>
      <c r="V296" s="33"/>
      <c r="W296" s="33"/>
      <c r="X296" s="33"/>
      <c r="Y296" s="33"/>
      <c r="Z296" s="96">
        <f t="shared" si="201"/>
        <v>26241.9</v>
      </c>
      <c r="AD296" s="59">
        <f t="shared" si="195"/>
        <v>26241.9</v>
      </c>
      <c r="AF296" s="59">
        <f t="shared" si="196"/>
        <v>0</v>
      </c>
    </row>
    <row r="297" spans="1:32" ht="46.95" customHeight="1" x14ac:dyDescent="0.3">
      <c r="A297" s="27">
        <v>14.03</v>
      </c>
      <c r="B297" s="18" t="s">
        <v>542</v>
      </c>
      <c r="C297" s="43"/>
      <c r="D297" s="37"/>
      <c r="E297" s="67"/>
      <c r="F297" s="37">
        <f t="shared" ref="F297:Y297" si="215">SUM(F298:F306)</f>
        <v>49275.34</v>
      </c>
      <c r="G297" s="82">
        <v>596.95000000000005</v>
      </c>
      <c r="H297" s="82">
        <v>45036.740000000005</v>
      </c>
      <c r="I297" s="82">
        <v>3641.65</v>
      </c>
      <c r="J297" s="82">
        <v>0</v>
      </c>
      <c r="K297" s="82">
        <v>0</v>
      </c>
      <c r="L297" s="82">
        <v>0</v>
      </c>
      <c r="M297" s="82">
        <v>0</v>
      </c>
      <c r="N297" s="82">
        <v>0</v>
      </c>
      <c r="O297" s="82">
        <v>0</v>
      </c>
      <c r="P297" s="82">
        <f t="shared" si="215"/>
        <v>0</v>
      </c>
      <c r="Q297" s="32">
        <f t="shared" si="215"/>
        <v>0</v>
      </c>
      <c r="R297" s="32">
        <f t="shared" si="215"/>
        <v>0</v>
      </c>
      <c r="S297" s="32">
        <f t="shared" si="215"/>
        <v>0</v>
      </c>
      <c r="T297" s="32">
        <f t="shared" si="215"/>
        <v>0</v>
      </c>
      <c r="U297" s="32">
        <f t="shared" si="215"/>
        <v>0</v>
      </c>
      <c r="V297" s="32">
        <f t="shared" si="215"/>
        <v>0</v>
      </c>
      <c r="W297" s="32">
        <f t="shared" si="215"/>
        <v>0</v>
      </c>
      <c r="X297" s="32">
        <f t="shared" si="215"/>
        <v>0</v>
      </c>
      <c r="Y297" s="32">
        <f t="shared" si="215"/>
        <v>0</v>
      </c>
      <c r="Z297" s="95">
        <f t="shared" si="201"/>
        <v>49275.340000000004</v>
      </c>
      <c r="AD297" s="59">
        <f t="shared" si="195"/>
        <v>49275.340000000004</v>
      </c>
      <c r="AF297" s="59">
        <f t="shared" si="196"/>
        <v>0</v>
      </c>
    </row>
    <row r="298" spans="1:32" ht="46.95" customHeight="1" x14ac:dyDescent="0.3">
      <c r="A298" s="26" t="s">
        <v>543</v>
      </c>
      <c r="B298" s="17" t="s">
        <v>544</v>
      </c>
      <c r="C298" s="22" t="s">
        <v>545</v>
      </c>
      <c r="D298" s="38">
        <v>165.36</v>
      </c>
      <c r="E298" s="39">
        <v>3.61</v>
      </c>
      <c r="F298" s="38">
        <f>ROUND(D298*E298,2)</f>
        <v>596.95000000000005</v>
      </c>
      <c r="G298" s="83">
        <v>596.95000000000005</v>
      </c>
      <c r="H298" s="83"/>
      <c r="I298" s="83"/>
      <c r="J298" s="83"/>
      <c r="K298" s="83"/>
      <c r="L298" s="83"/>
      <c r="M298" s="83"/>
      <c r="N298" s="83"/>
      <c r="O298" s="83"/>
      <c r="P298" s="83"/>
      <c r="Q298" s="33"/>
      <c r="R298" s="33"/>
      <c r="S298" s="33"/>
      <c r="T298" s="33"/>
      <c r="U298" s="33"/>
      <c r="V298" s="33"/>
      <c r="W298" s="33"/>
      <c r="X298" s="33"/>
      <c r="Y298" s="33"/>
      <c r="Z298" s="96">
        <f t="shared" si="201"/>
        <v>596.95000000000005</v>
      </c>
      <c r="AD298" s="59">
        <f t="shared" si="195"/>
        <v>596.95000000000005</v>
      </c>
      <c r="AF298" s="59">
        <f t="shared" si="196"/>
        <v>0</v>
      </c>
    </row>
    <row r="299" spans="1:32" ht="46.95" customHeight="1" x14ac:dyDescent="0.3">
      <c r="A299" s="26" t="s">
        <v>546</v>
      </c>
      <c r="B299" s="17" t="s">
        <v>547</v>
      </c>
      <c r="C299" s="22" t="s">
        <v>535</v>
      </c>
      <c r="D299" s="38">
        <v>297.64999999999998</v>
      </c>
      <c r="E299" s="39">
        <v>20.29</v>
      </c>
      <c r="F299" s="38">
        <f t="shared" ref="F299:F306" si="216">ROUND(D299*E299,2)</f>
        <v>6039.32</v>
      </c>
      <c r="G299" s="83"/>
      <c r="H299" s="83">
        <v>6039.32</v>
      </c>
      <c r="I299" s="83"/>
      <c r="J299" s="83"/>
      <c r="K299" s="83"/>
      <c r="L299" s="83"/>
      <c r="M299" s="83"/>
      <c r="N299" s="83"/>
      <c r="O299" s="83"/>
      <c r="P299" s="83"/>
      <c r="Q299" s="33"/>
      <c r="R299" s="33"/>
      <c r="S299" s="33"/>
      <c r="T299" s="33"/>
      <c r="U299" s="33"/>
      <c r="V299" s="33"/>
      <c r="W299" s="33"/>
      <c r="X299" s="33"/>
      <c r="Y299" s="33"/>
      <c r="Z299" s="96">
        <f t="shared" si="201"/>
        <v>6039.32</v>
      </c>
      <c r="AD299" s="59">
        <f t="shared" si="195"/>
        <v>6039.32</v>
      </c>
      <c r="AF299" s="59">
        <f t="shared" si="196"/>
        <v>0</v>
      </c>
    </row>
    <row r="300" spans="1:32" ht="46.95" customHeight="1" x14ac:dyDescent="0.3">
      <c r="A300" s="26" t="s">
        <v>548</v>
      </c>
      <c r="B300" s="17" t="s">
        <v>549</v>
      </c>
      <c r="C300" s="22" t="s">
        <v>32</v>
      </c>
      <c r="D300" s="38">
        <v>52</v>
      </c>
      <c r="E300" s="39">
        <v>25.28</v>
      </c>
      <c r="F300" s="38">
        <f t="shared" si="216"/>
        <v>1314.56</v>
      </c>
      <c r="G300" s="83"/>
      <c r="H300" s="83">
        <v>1314.56</v>
      </c>
      <c r="I300" s="83"/>
      <c r="J300" s="83"/>
      <c r="K300" s="83"/>
      <c r="L300" s="83"/>
      <c r="M300" s="83"/>
      <c r="N300" s="83"/>
      <c r="O300" s="83"/>
      <c r="P300" s="83"/>
      <c r="Q300" s="33"/>
      <c r="R300" s="33"/>
      <c r="S300" s="33"/>
      <c r="T300" s="33"/>
      <c r="U300" s="33"/>
      <c r="V300" s="33"/>
      <c r="W300" s="33"/>
      <c r="X300" s="33"/>
      <c r="Y300" s="33"/>
      <c r="Z300" s="96">
        <f t="shared" si="201"/>
        <v>1314.56</v>
      </c>
      <c r="AD300" s="59">
        <f t="shared" si="195"/>
        <v>1314.56</v>
      </c>
      <c r="AF300" s="59">
        <f t="shared" si="196"/>
        <v>0</v>
      </c>
    </row>
    <row r="301" spans="1:32" ht="46.95" customHeight="1" x14ac:dyDescent="0.3">
      <c r="A301" s="26" t="s">
        <v>550</v>
      </c>
      <c r="B301" s="17" t="s">
        <v>551</v>
      </c>
      <c r="C301" s="22" t="s">
        <v>535</v>
      </c>
      <c r="D301" s="38">
        <v>39.78</v>
      </c>
      <c r="E301" s="39">
        <v>93.34</v>
      </c>
      <c r="F301" s="38">
        <f t="shared" si="216"/>
        <v>3713.07</v>
      </c>
      <c r="G301" s="83"/>
      <c r="H301" s="83">
        <v>3713.07</v>
      </c>
      <c r="I301" s="83"/>
      <c r="J301" s="83"/>
      <c r="K301" s="83"/>
      <c r="L301" s="83"/>
      <c r="M301" s="83"/>
      <c r="N301" s="83"/>
      <c r="O301" s="83"/>
      <c r="P301" s="83"/>
      <c r="Q301" s="33"/>
      <c r="R301" s="33"/>
      <c r="S301" s="33"/>
      <c r="T301" s="33"/>
      <c r="U301" s="33"/>
      <c r="V301" s="33"/>
      <c r="W301" s="33"/>
      <c r="X301" s="33"/>
      <c r="Y301" s="33"/>
      <c r="Z301" s="96">
        <f t="shared" si="201"/>
        <v>3713.07</v>
      </c>
      <c r="AD301" s="59">
        <f t="shared" si="195"/>
        <v>3713.07</v>
      </c>
      <c r="AF301" s="59">
        <f t="shared" si="196"/>
        <v>0</v>
      </c>
    </row>
    <row r="302" spans="1:32" ht="46.95" customHeight="1" x14ac:dyDescent="0.3">
      <c r="A302" s="26" t="s">
        <v>552</v>
      </c>
      <c r="B302" s="17" t="s">
        <v>55</v>
      </c>
      <c r="C302" s="22" t="s">
        <v>535</v>
      </c>
      <c r="D302" s="38">
        <v>306.5</v>
      </c>
      <c r="E302" s="39">
        <v>32.71</v>
      </c>
      <c r="F302" s="38">
        <f t="shared" si="216"/>
        <v>10025.620000000001</v>
      </c>
      <c r="G302" s="83"/>
      <c r="H302" s="83">
        <v>10025.620000000001</v>
      </c>
      <c r="I302" s="83"/>
      <c r="J302" s="83"/>
      <c r="K302" s="83"/>
      <c r="L302" s="83"/>
      <c r="M302" s="83"/>
      <c r="N302" s="83"/>
      <c r="O302" s="83"/>
      <c r="P302" s="83"/>
      <c r="Q302" s="33"/>
      <c r="R302" s="33"/>
      <c r="S302" s="33"/>
      <c r="T302" s="33"/>
      <c r="U302" s="33"/>
      <c r="V302" s="33"/>
      <c r="W302" s="33"/>
      <c r="X302" s="33"/>
      <c r="Y302" s="33"/>
      <c r="Z302" s="96">
        <f t="shared" si="201"/>
        <v>10025.620000000001</v>
      </c>
      <c r="AD302" s="59">
        <f t="shared" si="195"/>
        <v>10025.620000000001</v>
      </c>
      <c r="AF302" s="59">
        <f t="shared" si="196"/>
        <v>0</v>
      </c>
    </row>
    <row r="303" spans="1:32" ht="46.95" customHeight="1" x14ac:dyDescent="0.3">
      <c r="A303" s="26" t="s">
        <v>553</v>
      </c>
      <c r="B303" s="17" t="s">
        <v>554</v>
      </c>
      <c r="C303" s="22" t="s">
        <v>535</v>
      </c>
      <c r="D303" s="38">
        <v>6.21</v>
      </c>
      <c r="E303" s="39">
        <v>397.46</v>
      </c>
      <c r="F303" s="38">
        <f t="shared" si="216"/>
        <v>2468.23</v>
      </c>
      <c r="G303" s="83"/>
      <c r="H303" s="83"/>
      <c r="I303" s="83">
        <v>2468.23</v>
      </c>
      <c r="J303" s="83"/>
      <c r="K303" s="83"/>
      <c r="L303" s="83"/>
      <c r="M303" s="83"/>
      <c r="N303" s="83"/>
      <c r="O303" s="83"/>
      <c r="P303" s="83"/>
      <c r="Q303" s="33"/>
      <c r="R303" s="33"/>
      <c r="S303" s="33"/>
      <c r="T303" s="33"/>
      <c r="U303" s="33"/>
      <c r="V303" s="33"/>
      <c r="W303" s="33"/>
      <c r="X303" s="33"/>
      <c r="Y303" s="33"/>
      <c r="Z303" s="96">
        <f t="shared" si="201"/>
        <v>2468.23</v>
      </c>
      <c r="AD303" s="59">
        <f t="shared" si="195"/>
        <v>2468.23</v>
      </c>
      <c r="AF303" s="59">
        <f t="shared" si="196"/>
        <v>0</v>
      </c>
    </row>
    <row r="304" spans="1:32" ht="46.95" customHeight="1" x14ac:dyDescent="0.3">
      <c r="A304" s="26" t="s">
        <v>555</v>
      </c>
      <c r="B304" s="17" t="s">
        <v>556</v>
      </c>
      <c r="C304" s="22" t="s">
        <v>86</v>
      </c>
      <c r="D304" s="38">
        <v>194.4</v>
      </c>
      <c r="E304" s="39">
        <v>6.88</v>
      </c>
      <c r="F304" s="38">
        <f t="shared" si="216"/>
        <v>1337.47</v>
      </c>
      <c r="G304" s="83"/>
      <c r="H304" s="83">
        <v>1337.47</v>
      </c>
      <c r="I304" s="83"/>
      <c r="J304" s="83"/>
      <c r="K304" s="83"/>
      <c r="L304" s="83"/>
      <c r="M304" s="83"/>
      <c r="N304" s="83"/>
      <c r="O304" s="83"/>
      <c r="P304" s="83"/>
      <c r="Q304" s="33"/>
      <c r="R304" s="33"/>
      <c r="S304" s="33"/>
      <c r="T304" s="33"/>
      <c r="U304" s="33"/>
      <c r="V304" s="33"/>
      <c r="W304" s="33"/>
      <c r="X304" s="33"/>
      <c r="Y304" s="33"/>
      <c r="Z304" s="96">
        <f t="shared" si="201"/>
        <v>1337.47</v>
      </c>
      <c r="AD304" s="59">
        <f t="shared" si="195"/>
        <v>1337.47</v>
      </c>
      <c r="AF304" s="59">
        <f t="shared" si="196"/>
        <v>0</v>
      </c>
    </row>
    <row r="305" spans="1:42" ht="46.95" customHeight="1" x14ac:dyDescent="0.3">
      <c r="A305" s="26" t="s">
        <v>557</v>
      </c>
      <c r="B305" s="17" t="s">
        <v>558</v>
      </c>
      <c r="C305" s="22" t="s">
        <v>545</v>
      </c>
      <c r="D305" s="38">
        <v>19.079999999999998</v>
      </c>
      <c r="E305" s="39">
        <v>61.5</v>
      </c>
      <c r="F305" s="38">
        <f t="shared" si="216"/>
        <v>1173.42</v>
      </c>
      <c r="G305" s="83"/>
      <c r="H305" s="83"/>
      <c r="I305" s="83">
        <v>1173.42</v>
      </c>
      <c r="J305" s="83"/>
      <c r="K305" s="83"/>
      <c r="L305" s="83"/>
      <c r="M305" s="83"/>
      <c r="N305" s="83"/>
      <c r="O305" s="83"/>
      <c r="P305" s="83"/>
      <c r="Q305" s="33"/>
      <c r="R305" s="33"/>
      <c r="S305" s="33"/>
      <c r="T305" s="33"/>
      <c r="U305" s="33"/>
      <c r="V305" s="33"/>
      <c r="W305" s="33"/>
      <c r="X305" s="33"/>
      <c r="Y305" s="33"/>
      <c r="Z305" s="96">
        <f t="shared" si="201"/>
        <v>1173.42</v>
      </c>
      <c r="AD305" s="59">
        <f t="shared" si="195"/>
        <v>1173.42</v>
      </c>
      <c r="AF305" s="59">
        <f t="shared" si="196"/>
        <v>0</v>
      </c>
    </row>
    <row r="306" spans="1:42" ht="46.95" customHeight="1" x14ac:dyDescent="0.3">
      <c r="A306" s="26" t="s">
        <v>559</v>
      </c>
      <c r="B306" s="17" t="s">
        <v>560</v>
      </c>
      <c r="C306" s="22" t="s">
        <v>32</v>
      </c>
      <c r="D306" s="38">
        <v>46</v>
      </c>
      <c r="E306" s="39">
        <v>491.45</v>
      </c>
      <c r="F306" s="38">
        <f t="shared" si="216"/>
        <v>22606.7</v>
      </c>
      <c r="G306" s="83"/>
      <c r="H306" s="83">
        <v>22606.7</v>
      </c>
      <c r="I306" s="83"/>
      <c r="J306" s="83"/>
      <c r="K306" s="83"/>
      <c r="L306" s="83"/>
      <c r="M306" s="83"/>
      <c r="N306" s="83"/>
      <c r="O306" s="83"/>
      <c r="P306" s="83"/>
      <c r="Q306" s="33"/>
      <c r="R306" s="33"/>
      <c r="S306" s="33"/>
      <c r="T306" s="33"/>
      <c r="U306" s="33"/>
      <c r="V306" s="33"/>
      <c r="W306" s="33"/>
      <c r="X306" s="33"/>
      <c r="Y306" s="33"/>
      <c r="Z306" s="96">
        <f t="shared" si="201"/>
        <v>22606.7</v>
      </c>
      <c r="AD306" s="59">
        <f t="shared" si="195"/>
        <v>22606.7</v>
      </c>
      <c r="AF306" s="59">
        <f t="shared" si="196"/>
        <v>0</v>
      </c>
    </row>
    <row r="307" spans="1:42" ht="46.95" customHeight="1" x14ac:dyDescent="0.3">
      <c r="A307" s="27">
        <v>14.04</v>
      </c>
      <c r="B307" s="18" t="s">
        <v>561</v>
      </c>
      <c r="C307" s="43"/>
      <c r="D307" s="37"/>
      <c r="E307" s="67"/>
      <c r="F307" s="37">
        <f t="shared" ref="F307:Y307" si="217">SUM(F308)</f>
        <v>59022</v>
      </c>
      <c r="G307" s="82">
        <v>0</v>
      </c>
      <c r="H307" s="82">
        <v>0</v>
      </c>
      <c r="I307" s="82">
        <v>4721.76</v>
      </c>
      <c r="J307" s="82">
        <v>1180.44</v>
      </c>
      <c r="K307" s="82">
        <v>1180.44</v>
      </c>
      <c r="L307" s="82">
        <v>5902.2</v>
      </c>
      <c r="M307" s="82">
        <v>7672.86</v>
      </c>
      <c r="N307" s="82">
        <v>8853.2999999999993</v>
      </c>
      <c r="O307" s="82">
        <v>8853.2999999999993</v>
      </c>
      <c r="P307" s="82">
        <f t="shared" si="217"/>
        <v>8853.2999999999993</v>
      </c>
      <c r="Q307" s="32">
        <f t="shared" si="217"/>
        <v>1311.5999999999995</v>
      </c>
      <c r="R307" s="32">
        <f t="shared" si="217"/>
        <v>1311.5999999999995</v>
      </c>
      <c r="S307" s="32">
        <f t="shared" si="217"/>
        <v>1311.5999999999995</v>
      </c>
      <c r="T307" s="32">
        <f t="shared" si="217"/>
        <v>1311.5999999999995</v>
      </c>
      <c r="U307" s="32">
        <f t="shared" si="217"/>
        <v>1311.5999999999995</v>
      </c>
      <c r="V307" s="32">
        <f t="shared" si="217"/>
        <v>1311.5999999999995</v>
      </c>
      <c r="W307" s="32">
        <f t="shared" si="217"/>
        <v>1311.5999999999995</v>
      </c>
      <c r="X307" s="32">
        <f t="shared" si="217"/>
        <v>1311.5999999999995</v>
      </c>
      <c r="Y307" s="32">
        <f t="shared" si="217"/>
        <v>1311.5999999999995</v>
      </c>
      <c r="Z307" s="95">
        <f t="shared" si="201"/>
        <v>59021.999999999993</v>
      </c>
      <c r="AD307" s="59">
        <f t="shared" si="195"/>
        <v>59021.999999999993</v>
      </c>
      <c r="AF307" s="59">
        <f t="shared" si="196"/>
        <v>0</v>
      </c>
    </row>
    <row r="308" spans="1:42" ht="46.95" customHeight="1" x14ac:dyDescent="0.3">
      <c r="A308" s="26" t="s">
        <v>562</v>
      </c>
      <c r="B308" s="17" t="s">
        <v>563</v>
      </c>
      <c r="C308" s="22" t="s">
        <v>24</v>
      </c>
      <c r="D308" s="38">
        <v>1</v>
      </c>
      <c r="E308" s="39">
        <v>59022</v>
      </c>
      <c r="F308" s="38">
        <f>ROUND(D308*E308,2)</f>
        <v>59022</v>
      </c>
      <c r="G308" s="83"/>
      <c r="H308" s="83"/>
      <c r="I308" s="83">
        <v>4721.76</v>
      </c>
      <c r="J308" s="83">
        <v>1180.44</v>
      </c>
      <c r="K308" s="83">
        <v>1180.44</v>
      </c>
      <c r="L308" s="83">
        <v>5902.2</v>
      </c>
      <c r="M308" s="83">
        <v>7672.86</v>
      </c>
      <c r="N308" s="83">
        <v>8853.2999999999993</v>
      </c>
      <c r="O308" s="83">
        <v>8853.2999999999993</v>
      </c>
      <c r="P308" s="83">
        <v>8853.2999999999993</v>
      </c>
      <c r="Q308" s="33">
        <f>(F308-SUM(G308:P308))/9</f>
        <v>1311.5999999999995</v>
      </c>
      <c r="R308" s="33">
        <f>Q308</f>
        <v>1311.5999999999995</v>
      </c>
      <c r="S308" s="33">
        <f>Q308</f>
        <v>1311.5999999999995</v>
      </c>
      <c r="T308" s="33">
        <f>Q308</f>
        <v>1311.5999999999995</v>
      </c>
      <c r="U308" s="33">
        <f>Q308</f>
        <v>1311.5999999999995</v>
      </c>
      <c r="V308" s="33">
        <f>Q308</f>
        <v>1311.5999999999995</v>
      </c>
      <c r="W308" s="33">
        <f>Q308</f>
        <v>1311.5999999999995</v>
      </c>
      <c r="X308" s="33">
        <f>Q308</f>
        <v>1311.5999999999995</v>
      </c>
      <c r="Y308" s="33">
        <f>Q308</f>
        <v>1311.5999999999995</v>
      </c>
      <c r="Z308" s="96">
        <f t="shared" si="201"/>
        <v>59021.999999999993</v>
      </c>
      <c r="AD308" s="59">
        <f t="shared" si="195"/>
        <v>59021.999999999993</v>
      </c>
      <c r="AF308" s="59">
        <f t="shared" si="196"/>
        <v>0</v>
      </c>
    </row>
    <row r="309" spans="1:42" ht="46.95" customHeight="1" x14ac:dyDescent="0.3">
      <c r="A309" s="27">
        <v>14.05</v>
      </c>
      <c r="B309" s="18" t="s">
        <v>564</v>
      </c>
      <c r="C309" s="43"/>
      <c r="D309" s="37"/>
      <c r="E309" s="67"/>
      <c r="F309" s="37">
        <f t="shared" ref="F309:Y309" si="218">SUM(F310)</f>
        <v>73700</v>
      </c>
      <c r="G309" s="82">
        <v>0</v>
      </c>
      <c r="H309" s="82">
        <v>0</v>
      </c>
      <c r="I309" s="82">
        <v>7370</v>
      </c>
      <c r="J309" s="82">
        <v>7370</v>
      </c>
      <c r="K309" s="82">
        <v>7370</v>
      </c>
      <c r="L309" s="82">
        <v>7370</v>
      </c>
      <c r="M309" s="82">
        <v>7370</v>
      </c>
      <c r="N309" s="82">
        <v>7370</v>
      </c>
      <c r="O309" s="82">
        <v>7370</v>
      </c>
      <c r="P309" s="82">
        <f t="shared" si="218"/>
        <v>0</v>
      </c>
      <c r="Q309" s="32">
        <f t="shared" si="218"/>
        <v>2456.6666666666665</v>
      </c>
      <c r="R309" s="32">
        <f t="shared" si="218"/>
        <v>2456.6666666666665</v>
      </c>
      <c r="S309" s="32">
        <f t="shared" si="218"/>
        <v>2456.6666666666665</v>
      </c>
      <c r="T309" s="32">
        <f t="shared" si="218"/>
        <v>2456.6666666666665</v>
      </c>
      <c r="U309" s="32">
        <f t="shared" si="218"/>
        <v>2456.6666666666665</v>
      </c>
      <c r="V309" s="32">
        <f t="shared" si="218"/>
        <v>2456.6666666666665</v>
      </c>
      <c r="W309" s="32">
        <f t="shared" si="218"/>
        <v>2456.6666666666665</v>
      </c>
      <c r="X309" s="32">
        <f t="shared" si="218"/>
        <v>2456.6666666666665</v>
      </c>
      <c r="Y309" s="32">
        <f t="shared" si="218"/>
        <v>2456.6666666666665</v>
      </c>
      <c r="Z309" s="95">
        <f t="shared" si="201"/>
        <v>73700</v>
      </c>
      <c r="AD309" s="59">
        <f t="shared" si="195"/>
        <v>73700</v>
      </c>
      <c r="AF309" s="59">
        <f t="shared" si="196"/>
        <v>0</v>
      </c>
    </row>
    <row r="310" spans="1:42" ht="46.95" customHeight="1" x14ac:dyDescent="0.3">
      <c r="A310" s="26" t="s">
        <v>565</v>
      </c>
      <c r="B310" s="17" t="s">
        <v>566</v>
      </c>
      <c r="C310" s="22" t="s">
        <v>24</v>
      </c>
      <c r="D310" s="38">
        <v>1</v>
      </c>
      <c r="E310" s="39">
        <v>73700</v>
      </c>
      <c r="F310" s="38">
        <f>ROUND(D310*E310,2)</f>
        <v>73700</v>
      </c>
      <c r="G310" s="83"/>
      <c r="H310" s="83"/>
      <c r="I310" s="83">
        <v>7370</v>
      </c>
      <c r="J310" s="83">
        <v>7370</v>
      </c>
      <c r="K310" s="83">
        <v>7370</v>
      </c>
      <c r="L310" s="83">
        <v>7370</v>
      </c>
      <c r="M310" s="83">
        <v>7370</v>
      </c>
      <c r="N310" s="83">
        <v>7370</v>
      </c>
      <c r="O310" s="83">
        <v>7370</v>
      </c>
      <c r="P310" s="83"/>
      <c r="Q310" s="33">
        <f>(F310-SUM(G310:P310))/9</f>
        <v>2456.6666666666665</v>
      </c>
      <c r="R310" s="33">
        <f>Q310</f>
        <v>2456.6666666666665</v>
      </c>
      <c r="S310" s="33">
        <f>Q310</f>
        <v>2456.6666666666665</v>
      </c>
      <c r="T310" s="33">
        <f>Q310</f>
        <v>2456.6666666666665</v>
      </c>
      <c r="U310" s="33">
        <f>Q310</f>
        <v>2456.6666666666665</v>
      </c>
      <c r="V310" s="33">
        <f>Q310</f>
        <v>2456.6666666666665</v>
      </c>
      <c r="W310" s="33">
        <f>Q310</f>
        <v>2456.6666666666665</v>
      </c>
      <c r="X310" s="33">
        <f>Q310</f>
        <v>2456.6666666666665</v>
      </c>
      <c r="Y310" s="33">
        <f>Q310</f>
        <v>2456.6666666666665</v>
      </c>
      <c r="Z310" s="96">
        <f t="shared" si="201"/>
        <v>73700</v>
      </c>
      <c r="AD310" s="59">
        <f t="shared" si="195"/>
        <v>73700</v>
      </c>
      <c r="AF310" s="59">
        <f t="shared" si="196"/>
        <v>0</v>
      </c>
    </row>
    <row r="311" spans="1:42" ht="46.95" customHeight="1" x14ac:dyDescent="0.35">
      <c r="A311" s="28" t="s">
        <v>567</v>
      </c>
      <c r="B311" s="19" t="s">
        <v>224</v>
      </c>
      <c r="C311" s="42"/>
      <c r="D311" s="36"/>
      <c r="E311" s="39"/>
      <c r="F311" s="46">
        <f t="shared" ref="F311:Y311" si="219">SUM(F312)</f>
        <v>80000</v>
      </c>
      <c r="G311" s="81">
        <v>0</v>
      </c>
      <c r="H311" s="81">
        <v>8000</v>
      </c>
      <c r="I311" s="81">
        <v>8000</v>
      </c>
      <c r="J311" s="81">
        <v>8000</v>
      </c>
      <c r="K311" s="81">
        <v>8000</v>
      </c>
      <c r="L311" s="81">
        <v>8000</v>
      </c>
      <c r="M311" s="81">
        <v>8000</v>
      </c>
      <c r="N311" s="81">
        <v>8000</v>
      </c>
      <c r="O311" s="81">
        <v>8000</v>
      </c>
      <c r="P311" s="81">
        <f t="shared" si="219"/>
        <v>16000</v>
      </c>
      <c r="Q311" s="60">
        <f t="shared" si="219"/>
        <v>0</v>
      </c>
      <c r="R311" s="60">
        <f t="shared" si="219"/>
        <v>0</v>
      </c>
      <c r="S311" s="60">
        <f t="shared" si="219"/>
        <v>0</v>
      </c>
      <c r="T311" s="60">
        <f t="shared" si="219"/>
        <v>0</v>
      </c>
      <c r="U311" s="60">
        <f t="shared" si="219"/>
        <v>0</v>
      </c>
      <c r="V311" s="60">
        <f t="shared" si="219"/>
        <v>0</v>
      </c>
      <c r="W311" s="60">
        <f t="shared" si="219"/>
        <v>0</v>
      </c>
      <c r="X311" s="60">
        <f t="shared" si="219"/>
        <v>0</v>
      </c>
      <c r="Y311" s="60">
        <f t="shared" si="219"/>
        <v>0</v>
      </c>
      <c r="Z311" s="94">
        <f t="shared" si="201"/>
        <v>80000</v>
      </c>
      <c r="AD311" s="59">
        <f t="shared" si="195"/>
        <v>80000</v>
      </c>
      <c r="AF311" s="59">
        <f t="shared" si="196"/>
        <v>0</v>
      </c>
      <c r="AP311" s="102" t="s">
        <v>629</v>
      </c>
    </row>
    <row r="312" spans="1:42" ht="46.95" customHeight="1" x14ac:dyDescent="0.3">
      <c r="A312" s="26" t="s">
        <v>568</v>
      </c>
      <c r="B312" s="17" t="s">
        <v>224</v>
      </c>
      <c r="C312" s="22" t="s">
        <v>24</v>
      </c>
      <c r="D312" s="38">
        <v>1</v>
      </c>
      <c r="E312" s="39">
        <v>80000</v>
      </c>
      <c r="F312" s="41">
        <v>80000</v>
      </c>
      <c r="G312" s="83"/>
      <c r="H312" s="83">
        <v>8000</v>
      </c>
      <c r="I312" s="83">
        <v>8000</v>
      </c>
      <c r="J312" s="83">
        <v>8000</v>
      </c>
      <c r="K312" s="83">
        <v>8000</v>
      </c>
      <c r="L312" s="83">
        <v>8000</v>
      </c>
      <c r="M312" s="83">
        <v>8000</v>
      </c>
      <c r="N312" s="83">
        <v>8000</v>
      </c>
      <c r="O312" s="83">
        <v>8000</v>
      </c>
      <c r="P312" s="83">
        <f>(F312-SUM(G312:O312))</f>
        <v>16000</v>
      </c>
      <c r="Q312" s="33"/>
      <c r="R312" s="33"/>
      <c r="S312" s="33"/>
      <c r="T312" s="33"/>
      <c r="U312" s="33"/>
      <c r="V312" s="33"/>
      <c r="W312" s="33"/>
      <c r="X312" s="33"/>
      <c r="Y312" s="33"/>
      <c r="Z312" s="96">
        <f t="shared" si="201"/>
        <v>80000</v>
      </c>
      <c r="AD312" s="59">
        <f t="shared" si="195"/>
        <v>80000</v>
      </c>
      <c r="AF312" s="59">
        <f t="shared" si="196"/>
        <v>0</v>
      </c>
    </row>
    <row r="313" spans="1:42" ht="27.6" customHeight="1" x14ac:dyDescent="0.35">
      <c r="B313" s="130" t="s">
        <v>225</v>
      </c>
      <c r="C313" s="131"/>
      <c r="D313" s="131"/>
      <c r="E313" s="132"/>
      <c r="F313" s="63">
        <f t="shared" ref="F313:X313" si="220">F11+F33+F58+F76+F95+F114+F127+F137+F176+F186+F234+F259+F262+F280+F311</f>
        <v>32018280.41</v>
      </c>
      <c r="G313" s="56">
        <f t="shared" si="220"/>
        <v>547327.26</v>
      </c>
      <c r="H313" s="61">
        <f t="shared" si="220"/>
        <v>1605242.2399999998</v>
      </c>
      <c r="I313" s="61">
        <f t="shared" si="220"/>
        <v>2694009.7699999996</v>
      </c>
      <c r="J313" s="61">
        <f t="shared" si="220"/>
        <v>504838.96</v>
      </c>
      <c r="K313" s="61">
        <f t="shared" si="220"/>
        <v>903074.13000000012</v>
      </c>
      <c r="L313" s="61">
        <f t="shared" si="220"/>
        <v>1870438.19</v>
      </c>
      <c r="M313" s="61">
        <f t="shared" si="220"/>
        <v>613473.55000000005</v>
      </c>
      <c r="N313" s="61">
        <f t="shared" si="220"/>
        <v>1262792.1800000002</v>
      </c>
      <c r="O313" s="61">
        <f t="shared" si="220"/>
        <v>1212535.5200000003</v>
      </c>
      <c r="P313" s="61">
        <f t="shared" si="220"/>
        <v>426591.54000000004</v>
      </c>
      <c r="Q313" s="61">
        <f t="shared" si="220"/>
        <v>372752.76306666667</v>
      </c>
      <c r="R313" s="61">
        <f t="shared" si="220"/>
        <v>1034793.4842666667</v>
      </c>
      <c r="S313" s="61">
        <f t="shared" si="220"/>
        <v>2797314.9411666668</v>
      </c>
      <c r="T313" s="61">
        <f t="shared" si="220"/>
        <v>2971586.1484999997</v>
      </c>
      <c r="U313" s="61">
        <f t="shared" si="220"/>
        <v>4132112.9760000003</v>
      </c>
      <c r="V313" s="61">
        <f t="shared" si="220"/>
        <v>2145792.7290000003</v>
      </c>
      <c r="W313" s="61">
        <f t="shared" si="220"/>
        <v>2148261.6406666664</v>
      </c>
      <c r="X313" s="77">
        <f>ROUNDDOWN(X11+X33+X58+X76+X95+X114+X127+X137+X176+X186+X234+X259+X262+X280+X311,2)</f>
        <v>2460788.86</v>
      </c>
      <c r="Y313" s="77">
        <f>ROUNDDOWN(Y11+Y33+Y58+Y76+Y95+Y114+Y127+Y137+Y176+Y186+Y234+Y259+Y262+Y280+Y311,2)</f>
        <v>1417015.4</v>
      </c>
      <c r="Z313" s="99">
        <f>ROUNDDOWN(Z11+Z33+Z58+Z76+Z95+Z114+Z127+Z137+Z176+Z186+Z234+Z259+Z262+Z280+Z311,2)</f>
        <v>31120742.280000001</v>
      </c>
      <c r="AC313" s="59">
        <f>SUM(G313:Y313)</f>
        <v>31120742.282666665</v>
      </c>
      <c r="AD313" s="59">
        <f>ROUNDDOWN(AD11+AD33+AD58+AD76+AD95+AD114+AD127+AD137+AD176+AD186+AD234+AD259+AD262+AD280+AD311,2)</f>
        <v>31120742.280000001</v>
      </c>
      <c r="AF313" s="59">
        <f>F313-AD313</f>
        <v>897538.12999999896</v>
      </c>
      <c r="AI313" s="59">
        <f>F313-Z313</f>
        <v>897538.12999999896</v>
      </c>
      <c r="AL313" s="59">
        <f>Z313-AD313</f>
        <v>0</v>
      </c>
      <c r="AP313" s="59">
        <v>31120742.280000001</v>
      </c>
    </row>
    <row r="314" spans="1:42" ht="27.6" customHeight="1" x14ac:dyDescent="0.35">
      <c r="B314" s="127" t="s">
        <v>226</v>
      </c>
      <c r="C314" s="128"/>
      <c r="D314" s="128"/>
      <c r="E314" s="129"/>
      <c r="F314" s="64">
        <f t="shared" ref="F314:U314" si="221">ROUND(F313*0.1,2)</f>
        <v>3201828.04</v>
      </c>
      <c r="G314" s="5">
        <f>ROUNDDOWN(G313*0.1,2)</f>
        <v>54732.72</v>
      </c>
      <c r="H314" s="6">
        <f t="shared" si="221"/>
        <v>160524.22</v>
      </c>
      <c r="I314" s="6">
        <f t="shared" si="221"/>
        <v>269400.98</v>
      </c>
      <c r="J314" s="6">
        <f t="shared" si="221"/>
        <v>50483.9</v>
      </c>
      <c r="K314" s="6">
        <f t="shared" si="221"/>
        <v>90307.41</v>
      </c>
      <c r="L314" s="6">
        <f t="shared" si="221"/>
        <v>187043.82</v>
      </c>
      <c r="M314" s="6">
        <f t="shared" si="221"/>
        <v>61347.360000000001</v>
      </c>
      <c r="N314" s="6">
        <f t="shared" si="221"/>
        <v>126279.22</v>
      </c>
      <c r="O314" s="6">
        <f t="shared" si="221"/>
        <v>121253.55</v>
      </c>
      <c r="P314" s="6">
        <f t="shared" si="221"/>
        <v>42659.15</v>
      </c>
      <c r="Q314" s="6">
        <f t="shared" si="221"/>
        <v>37275.279999999999</v>
      </c>
      <c r="R314" s="6">
        <f t="shared" si="221"/>
        <v>103479.35</v>
      </c>
      <c r="S314" s="6">
        <f t="shared" si="221"/>
        <v>279731.49</v>
      </c>
      <c r="T314" s="6">
        <f t="shared" si="221"/>
        <v>297158.61</v>
      </c>
      <c r="U314" s="6">
        <f t="shared" si="221"/>
        <v>413211.3</v>
      </c>
      <c r="V314" s="6">
        <f>ROUND(V313*0.1,2)</f>
        <v>214579.27</v>
      </c>
      <c r="W314" s="6">
        <f>ROUND(W313*0.1,2)</f>
        <v>214826.16</v>
      </c>
      <c r="X314" s="6">
        <f>ROUND(X313*0.1,2)</f>
        <v>246078.89</v>
      </c>
      <c r="Y314" s="78">
        <f>ROUND(Y313*0.1,2)</f>
        <v>141701.54</v>
      </c>
      <c r="Z314" s="64">
        <f>ROUND(Z313*0.1,2)</f>
        <v>3112074.23</v>
      </c>
      <c r="AC314" s="59">
        <f t="shared" ref="AC314:AC318" si="222">SUM(G314:Y314)</f>
        <v>3112074.22</v>
      </c>
      <c r="AD314" s="59">
        <f>ROUND(AD313*0.1,2)</f>
        <v>3112074.23</v>
      </c>
      <c r="AF314" s="59">
        <f t="shared" ref="AF314:AF318" si="223">F314-AD314</f>
        <v>89753.810000000056</v>
      </c>
      <c r="AI314" s="59">
        <f t="shared" ref="AI314:AI318" si="224">F314-Z314</f>
        <v>89753.810000000056</v>
      </c>
      <c r="AL314" s="59">
        <f t="shared" ref="AL314:AL318" si="225">Z314-AD314</f>
        <v>0</v>
      </c>
      <c r="AP314" s="59">
        <v>3112074.23</v>
      </c>
    </row>
    <row r="315" spans="1:42" ht="27.6" customHeight="1" x14ac:dyDescent="0.35">
      <c r="B315" s="127" t="s">
        <v>227</v>
      </c>
      <c r="C315" s="128"/>
      <c r="D315" s="128"/>
      <c r="E315" s="129"/>
      <c r="F315" s="64">
        <f t="shared" ref="F315:U315" si="226">ROUND(F313*0.07,2)</f>
        <v>2241279.63</v>
      </c>
      <c r="G315" s="5">
        <f t="shared" si="226"/>
        <v>38312.910000000003</v>
      </c>
      <c r="H315" s="6">
        <f t="shared" si="226"/>
        <v>112366.96</v>
      </c>
      <c r="I315" s="6">
        <f t="shared" si="226"/>
        <v>188580.68</v>
      </c>
      <c r="J315" s="6">
        <f t="shared" si="226"/>
        <v>35338.730000000003</v>
      </c>
      <c r="K315" s="6">
        <f t="shared" si="226"/>
        <v>63215.19</v>
      </c>
      <c r="L315" s="6">
        <f t="shared" si="226"/>
        <v>130930.67</v>
      </c>
      <c r="M315" s="6">
        <f t="shared" si="226"/>
        <v>42943.15</v>
      </c>
      <c r="N315" s="6">
        <f t="shared" si="226"/>
        <v>88395.45</v>
      </c>
      <c r="O315" s="6">
        <f t="shared" si="226"/>
        <v>84877.49</v>
      </c>
      <c r="P315" s="6">
        <f t="shared" si="226"/>
        <v>29861.41</v>
      </c>
      <c r="Q315" s="6">
        <f t="shared" si="226"/>
        <v>26092.69</v>
      </c>
      <c r="R315" s="6">
        <f t="shared" si="226"/>
        <v>72435.539999999994</v>
      </c>
      <c r="S315" s="6">
        <f t="shared" si="226"/>
        <v>195812.05</v>
      </c>
      <c r="T315" s="6">
        <f t="shared" si="226"/>
        <v>208011.03</v>
      </c>
      <c r="U315" s="6">
        <f t="shared" si="226"/>
        <v>289247.90999999997</v>
      </c>
      <c r="V315" s="6">
        <f>ROUND(V313*0.07,2)</f>
        <v>150205.49</v>
      </c>
      <c r="W315" s="6">
        <f>ROUND(W313*0.07,2)</f>
        <v>150378.31</v>
      </c>
      <c r="X315" s="6">
        <f>ROUND(X313*0.07,2)</f>
        <v>172255.22</v>
      </c>
      <c r="Y315" s="78">
        <f>ROUNDUP(Y313*0.07,2)</f>
        <v>99191.08</v>
      </c>
      <c r="Z315" s="64">
        <f>ROUNDUP(Z313*0.07,2)</f>
        <v>2178451.96</v>
      </c>
      <c r="AC315" s="59">
        <f t="shared" si="222"/>
        <v>2178451.96</v>
      </c>
      <c r="AD315" s="59">
        <f>ROUNDUP(AD313*0.07,2)</f>
        <v>2178451.96</v>
      </c>
      <c r="AF315" s="59">
        <f t="shared" si="223"/>
        <v>62827.669999999925</v>
      </c>
      <c r="AI315" s="59">
        <f t="shared" si="224"/>
        <v>62827.669999999925</v>
      </c>
      <c r="AL315" s="59">
        <f t="shared" si="225"/>
        <v>0</v>
      </c>
      <c r="AP315" s="59">
        <v>2178451.96</v>
      </c>
    </row>
    <row r="316" spans="1:42" ht="27.6" customHeight="1" x14ac:dyDescent="0.35">
      <c r="B316" s="130" t="s">
        <v>6</v>
      </c>
      <c r="C316" s="131"/>
      <c r="D316" s="131"/>
      <c r="E316" s="132"/>
      <c r="F316" s="65">
        <f t="shared" ref="F316:Y316" si="227">SUM(F313:F315)</f>
        <v>37461388.080000006</v>
      </c>
      <c r="G316" s="58">
        <f t="shared" si="227"/>
        <v>640372.89</v>
      </c>
      <c r="H316" s="57">
        <f t="shared" si="227"/>
        <v>1878133.4199999997</v>
      </c>
      <c r="I316" s="57">
        <f t="shared" si="227"/>
        <v>3151991.4299999997</v>
      </c>
      <c r="J316" s="57">
        <f t="shared" si="227"/>
        <v>590661.59</v>
      </c>
      <c r="K316" s="57">
        <f t="shared" si="227"/>
        <v>1056596.7300000002</v>
      </c>
      <c r="L316" s="57">
        <f t="shared" si="227"/>
        <v>2188412.6800000002</v>
      </c>
      <c r="M316" s="57">
        <f t="shared" si="227"/>
        <v>717764.06</v>
      </c>
      <c r="N316" s="57">
        <f t="shared" si="227"/>
        <v>1477466.85</v>
      </c>
      <c r="O316" s="57">
        <f t="shared" si="227"/>
        <v>1418666.5600000003</v>
      </c>
      <c r="P316" s="57">
        <f t="shared" si="227"/>
        <v>499112.10000000003</v>
      </c>
      <c r="Q316" s="57">
        <f t="shared" si="227"/>
        <v>436120.7330666667</v>
      </c>
      <c r="R316" s="57">
        <f t="shared" si="227"/>
        <v>1210708.3742666668</v>
      </c>
      <c r="S316" s="57">
        <f t="shared" si="227"/>
        <v>3272858.4811666664</v>
      </c>
      <c r="T316" s="57">
        <f t="shared" si="227"/>
        <v>3476755.7884999993</v>
      </c>
      <c r="U316" s="57">
        <f t="shared" si="227"/>
        <v>4834572.1860000007</v>
      </c>
      <c r="V316" s="57">
        <f t="shared" si="227"/>
        <v>2510577.4890000001</v>
      </c>
      <c r="W316" s="57">
        <f t="shared" si="227"/>
        <v>2513466.1106666666</v>
      </c>
      <c r="X316" s="57">
        <f t="shared" si="227"/>
        <v>2879122.97</v>
      </c>
      <c r="Y316" s="79">
        <f t="shared" si="227"/>
        <v>1657908.02</v>
      </c>
      <c r="Z316" s="93">
        <f t="shared" ref="Z316" si="228">SUM(Z313:Z315)</f>
        <v>36411268.469999999</v>
      </c>
      <c r="AC316" s="59">
        <f t="shared" si="222"/>
        <v>36411268.462666675</v>
      </c>
      <c r="AD316" s="59">
        <f t="shared" ref="AD316" si="229">SUM(AD313:AD315)</f>
        <v>36411268.469999999</v>
      </c>
      <c r="AF316" s="59">
        <f t="shared" si="223"/>
        <v>1050119.6100000069</v>
      </c>
      <c r="AI316" s="59">
        <f t="shared" si="224"/>
        <v>1050119.6100000069</v>
      </c>
      <c r="AL316" s="59">
        <f t="shared" si="225"/>
        <v>0</v>
      </c>
      <c r="AP316" s="59">
        <v>36411268.469999999</v>
      </c>
    </row>
    <row r="317" spans="1:42" ht="27.6" customHeight="1" x14ac:dyDescent="0.35">
      <c r="B317" s="127" t="s">
        <v>228</v>
      </c>
      <c r="C317" s="128"/>
      <c r="D317" s="128"/>
      <c r="E317" s="129"/>
      <c r="F317" s="64">
        <f t="shared" ref="F317:U317" si="230">ROUND(F316*0.18,2)</f>
        <v>6743049.8499999996</v>
      </c>
      <c r="G317" s="5">
        <f t="shared" si="230"/>
        <v>115267.12</v>
      </c>
      <c r="H317" s="6">
        <f t="shared" si="230"/>
        <v>338064.02</v>
      </c>
      <c r="I317" s="6">
        <f t="shared" si="230"/>
        <v>567358.46</v>
      </c>
      <c r="J317" s="6">
        <f t="shared" si="230"/>
        <v>106319.09</v>
      </c>
      <c r="K317" s="6">
        <f t="shared" si="230"/>
        <v>190187.41</v>
      </c>
      <c r="L317" s="6">
        <f t="shared" si="230"/>
        <v>393914.28</v>
      </c>
      <c r="M317" s="6">
        <f t="shared" si="230"/>
        <v>129197.53</v>
      </c>
      <c r="N317" s="6">
        <f t="shared" si="230"/>
        <v>265944.03000000003</v>
      </c>
      <c r="O317" s="6">
        <f t="shared" si="230"/>
        <v>255359.98</v>
      </c>
      <c r="P317" s="6">
        <f t="shared" si="230"/>
        <v>89840.18</v>
      </c>
      <c r="Q317" s="6">
        <f t="shared" si="230"/>
        <v>78501.73</v>
      </c>
      <c r="R317" s="6">
        <f t="shared" si="230"/>
        <v>217927.51</v>
      </c>
      <c r="S317" s="6">
        <f t="shared" si="230"/>
        <v>589114.53</v>
      </c>
      <c r="T317" s="6">
        <f t="shared" si="230"/>
        <v>625816.04</v>
      </c>
      <c r="U317" s="6">
        <f t="shared" si="230"/>
        <v>870222.99</v>
      </c>
      <c r="V317" s="6">
        <f>ROUND(V316*0.18,2)</f>
        <v>451903.95</v>
      </c>
      <c r="W317" s="6">
        <f>ROUND(W316*0.18,2)</f>
        <v>452423.9</v>
      </c>
      <c r="X317" s="6">
        <f>ROUNDDOWN(X316*0.18,2)</f>
        <v>518242.13</v>
      </c>
      <c r="Y317" s="78">
        <f>ROUND(Y316*0.18,2)</f>
        <v>298423.44</v>
      </c>
      <c r="Z317" s="64">
        <f>ROUNDDOWN(Z316*0.18,2)</f>
        <v>6554028.3200000003</v>
      </c>
      <c r="AC317" s="59">
        <f t="shared" si="222"/>
        <v>6554028.3200000012</v>
      </c>
      <c r="AD317" s="59">
        <f>ROUNDDOWN(AD316*0.18,2)</f>
        <v>6554028.3200000003</v>
      </c>
      <c r="AF317" s="59">
        <f t="shared" si="223"/>
        <v>189021.52999999933</v>
      </c>
      <c r="AI317" s="59">
        <f t="shared" si="224"/>
        <v>189021.52999999933</v>
      </c>
      <c r="AL317" s="59">
        <f t="shared" si="225"/>
        <v>0</v>
      </c>
      <c r="AP317" s="59">
        <v>6554028.3200000003</v>
      </c>
    </row>
    <row r="318" spans="1:42" ht="27.6" customHeight="1" x14ac:dyDescent="0.35">
      <c r="B318" s="130" t="s">
        <v>229</v>
      </c>
      <c r="C318" s="131"/>
      <c r="D318" s="131"/>
      <c r="E318" s="132"/>
      <c r="F318" s="66">
        <f t="shared" ref="F318:Y318" si="231">SUM(F316:F317)</f>
        <v>44204437.930000007</v>
      </c>
      <c r="G318" s="58">
        <f t="shared" si="231"/>
        <v>755640.01</v>
      </c>
      <c r="H318" s="57">
        <f t="shared" si="231"/>
        <v>2216197.4399999995</v>
      </c>
      <c r="I318" s="57">
        <f t="shared" si="231"/>
        <v>3719349.8899999997</v>
      </c>
      <c r="J318" s="57">
        <f t="shared" si="231"/>
        <v>696980.67999999993</v>
      </c>
      <c r="K318" s="57">
        <f t="shared" si="231"/>
        <v>1246784.1400000001</v>
      </c>
      <c r="L318" s="57">
        <f t="shared" si="231"/>
        <v>2582326.96</v>
      </c>
      <c r="M318" s="57">
        <f t="shared" si="231"/>
        <v>846961.59000000008</v>
      </c>
      <c r="N318" s="57">
        <f t="shared" si="231"/>
        <v>1743410.8800000001</v>
      </c>
      <c r="O318" s="57">
        <f t="shared" si="231"/>
        <v>1674026.5400000003</v>
      </c>
      <c r="P318" s="57">
        <f t="shared" si="231"/>
        <v>588952.28</v>
      </c>
      <c r="Q318" s="57">
        <f t="shared" si="231"/>
        <v>514622.46306666668</v>
      </c>
      <c r="R318" s="57">
        <f t="shared" si="231"/>
        <v>1428635.8842666668</v>
      </c>
      <c r="S318" s="57">
        <f t="shared" si="231"/>
        <v>3861973.0111666666</v>
      </c>
      <c r="T318" s="57">
        <f t="shared" si="231"/>
        <v>4102571.8284999994</v>
      </c>
      <c r="U318" s="57">
        <f t="shared" si="231"/>
        <v>5704795.1760000009</v>
      </c>
      <c r="V318" s="57">
        <f t="shared" si="231"/>
        <v>2962481.4390000002</v>
      </c>
      <c r="W318" s="57">
        <f t="shared" si="231"/>
        <v>2965890.0106666666</v>
      </c>
      <c r="X318" s="57">
        <f t="shared" si="231"/>
        <v>3397365.1</v>
      </c>
      <c r="Y318" s="79">
        <f t="shared" si="231"/>
        <v>1956331.46</v>
      </c>
      <c r="Z318" s="92">
        <f t="shared" ref="Z318" si="232">SUM(Z316:Z317)</f>
        <v>42965296.789999999</v>
      </c>
      <c r="AC318" s="59">
        <f t="shared" si="222"/>
        <v>42965296.782666668</v>
      </c>
      <c r="AD318" s="59">
        <f t="shared" ref="AD318" si="233">SUM(AD316:AD317)</f>
        <v>42965296.789999999</v>
      </c>
      <c r="AF318" s="59">
        <f t="shared" si="223"/>
        <v>1239141.140000008</v>
      </c>
      <c r="AI318" s="59">
        <f t="shared" si="224"/>
        <v>1239141.140000008</v>
      </c>
      <c r="AL318" s="59">
        <f t="shared" si="225"/>
        <v>0</v>
      </c>
      <c r="AP318" s="59">
        <v>42965296.789999999</v>
      </c>
    </row>
    <row r="319" spans="1:42" ht="27.6" customHeight="1" x14ac:dyDescent="0.4">
      <c r="C319" s="9"/>
      <c r="D319" s="7"/>
      <c r="E319" s="68"/>
      <c r="F319" s="1"/>
    </row>
    <row r="320" spans="1:42" ht="27.6" customHeight="1" x14ac:dyDescent="0.35">
      <c r="B320" s="121" t="s">
        <v>231</v>
      </c>
      <c r="C320" s="122"/>
      <c r="D320" s="122"/>
      <c r="E320" s="122"/>
      <c r="F320" s="123"/>
      <c r="G320" s="62">
        <f>G318/$F$318</f>
        <v>1.7094211472535738E-2</v>
      </c>
      <c r="H320" s="62">
        <f t="shared" ref="H320:W320" si="234">H318/$F$318</f>
        <v>5.0135179719046803E-2</v>
      </c>
      <c r="I320" s="62">
        <f t="shared" si="234"/>
        <v>8.4139739450816695E-2</v>
      </c>
      <c r="J320" s="62">
        <f t="shared" si="234"/>
        <v>1.5767210548038289E-2</v>
      </c>
      <c r="K320" s="62">
        <f t="shared" si="234"/>
        <v>2.8204954035935186E-2</v>
      </c>
      <c r="L320" s="62">
        <f t="shared" si="234"/>
        <v>5.8417821398142132E-2</v>
      </c>
      <c r="M320" s="62">
        <f t="shared" si="234"/>
        <v>1.9160103140350007E-2</v>
      </c>
      <c r="N320" s="62">
        <f t="shared" si="234"/>
        <v>3.9439725096398252E-2</v>
      </c>
      <c r="O320" s="62">
        <f t="shared" si="234"/>
        <v>3.787010124754684E-2</v>
      </c>
      <c r="P320" s="62">
        <f t="shared" si="234"/>
        <v>1.3323374475038821E-2</v>
      </c>
      <c r="Q320" s="62">
        <f>ROUND(Q318/$F$318,4)</f>
        <v>1.1599999999999999E-2</v>
      </c>
      <c r="R320" s="62">
        <f>ROUND(R318/$F$318,4)</f>
        <v>3.2300000000000002E-2</v>
      </c>
      <c r="S320" s="62">
        <f>ROUND(S318/$F$318,4)</f>
        <v>8.7400000000000005E-2</v>
      </c>
      <c r="T320" s="62">
        <f>ROUND(T318/$F$318,4)</f>
        <v>9.2799999999999994E-2</v>
      </c>
      <c r="U320" s="62">
        <f>ROUND(U318/$F$318,4)</f>
        <v>0.12909999999999999</v>
      </c>
      <c r="V320" s="62">
        <f>ROUND(V318/$F$318,4)</f>
        <v>6.7000000000000004E-2</v>
      </c>
      <c r="W320" s="62">
        <f>ROUND(W318/$F$318,4)</f>
        <v>6.7100000000000007E-2</v>
      </c>
      <c r="X320" s="62">
        <f>ROUNDUP(X318/$F$318,4)</f>
        <v>7.6899999999999996E-2</v>
      </c>
      <c r="Y320" s="62">
        <f>ROUNDUP(Y318/$F$318,4)</f>
        <v>4.4300000000000006E-2</v>
      </c>
      <c r="Z320" s="80">
        <f>ROUND(Z318/$F$318,4)</f>
        <v>0.97199999999999998</v>
      </c>
      <c r="AD320" s="62">
        <f>SUM(G320:Y320)</f>
        <v>0.97205242058384889</v>
      </c>
    </row>
    <row r="321" spans="1:26" ht="27.6" customHeight="1" x14ac:dyDescent="0.35">
      <c r="B321" s="124" t="s">
        <v>230</v>
      </c>
      <c r="C321" s="125"/>
      <c r="D321" s="125"/>
      <c r="E321" s="125"/>
      <c r="F321" s="126"/>
      <c r="G321" s="62">
        <f>G320</f>
        <v>1.7094211472535738E-2</v>
      </c>
      <c r="H321" s="62">
        <f>G321+H320</f>
        <v>6.7229391191582541E-2</v>
      </c>
      <c r="I321" s="62">
        <f>ROUNDDOWN(H321+I320,4)</f>
        <v>0.15129999999999999</v>
      </c>
      <c r="J321" s="62">
        <f t="shared" ref="J321:X321" si="235">I321+J320</f>
        <v>0.16706721054803828</v>
      </c>
      <c r="K321" s="62">
        <f t="shared" si="235"/>
        <v>0.19527216458397345</v>
      </c>
      <c r="L321" s="62">
        <f t="shared" si="235"/>
        <v>0.25368998598211556</v>
      </c>
      <c r="M321" s="62">
        <f t="shared" si="235"/>
        <v>0.27285008912246556</v>
      </c>
      <c r="N321" s="62">
        <f t="shared" si="235"/>
        <v>0.31228981421886381</v>
      </c>
      <c r="O321" s="62">
        <f t="shared" si="235"/>
        <v>0.35015991546641068</v>
      </c>
      <c r="P321" s="62">
        <f>ROUNDUP(O321+P320,4)</f>
        <v>0.36349999999999999</v>
      </c>
      <c r="Q321" s="62">
        <f t="shared" si="235"/>
        <v>0.37509999999999999</v>
      </c>
      <c r="R321" s="62">
        <f>ROUND(Q321+R320,4)</f>
        <v>0.40739999999999998</v>
      </c>
      <c r="S321" s="62">
        <f>ROUND(R321+S320,4)</f>
        <v>0.49480000000000002</v>
      </c>
      <c r="T321" s="62">
        <f>ROUND(S321+T320,4)</f>
        <v>0.58760000000000001</v>
      </c>
      <c r="U321" s="62">
        <f t="shared" ref="U321:Y321" si="236">ROUND(T321+U320,4)</f>
        <v>0.7167</v>
      </c>
      <c r="V321" s="62">
        <f t="shared" si="236"/>
        <v>0.78369999999999995</v>
      </c>
      <c r="W321" s="62">
        <f t="shared" si="236"/>
        <v>0.8508</v>
      </c>
      <c r="X321" s="62">
        <f t="shared" si="236"/>
        <v>0.92769999999999997</v>
      </c>
      <c r="Y321" s="62">
        <f t="shared" si="236"/>
        <v>0.97199999999999998</v>
      </c>
      <c r="Z321" s="76"/>
    </row>
    <row r="322" spans="1:26" ht="27.6" customHeight="1" x14ac:dyDescent="0.3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72"/>
    </row>
    <row r="323" spans="1:26" ht="27.6" customHeight="1" x14ac:dyDescent="0.4">
      <c r="C323" s="9"/>
      <c r="D323" s="7"/>
      <c r="E323" s="68"/>
      <c r="F323" s="1"/>
    </row>
    <row r="324" spans="1:26" ht="27.6" customHeight="1" x14ac:dyDescent="0.4">
      <c r="C324" s="9"/>
      <c r="D324" s="7"/>
      <c r="E324" s="68"/>
      <c r="F324" s="1"/>
      <c r="I324" s="1">
        <f>SUM(G318:I318)</f>
        <v>6691187.3399999989</v>
      </c>
    </row>
    <row r="325" spans="1:26" ht="27.6" customHeight="1" x14ac:dyDescent="0.4">
      <c r="C325" s="9"/>
      <c r="D325" s="7"/>
      <c r="E325" s="68"/>
      <c r="F325" s="1"/>
    </row>
    <row r="326" spans="1:26" ht="27.6" customHeight="1" x14ac:dyDescent="0.4">
      <c r="C326" s="9"/>
      <c r="D326" s="7"/>
      <c r="E326" s="68"/>
      <c r="F326" s="1"/>
    </row>
    <row r="327" spans="1:26" ht="27.6" customHeight="1" x14ac:dyDescent="0.4">
      <c r="C327" s="9"/>
      <c r="D327" s="7"/>
      <c r="E327" s="68"/>
      <c r="F327" s="1"/>
      <c r="G327" s="62">
        <v>8.4728222346023493E-3</v>
      </c>
      <c r="H327" s="62">
        <v>3.2505939126867542E-2</v>
      </c>
      <c r="I327" s="62">
        <v>3.9782182872107261E-2</v>
      </c>
      <c r="J327" s="62">
        <v>3.5460253582959081E-2</v>
      </c>
      <c r="K327" s="62">
        <v>6.949538980727045E-2</v>
      </c>
      <c r="L327" s="62">
        <v>3.3751552151023712E-2</v>
      </c>
      <c r="M327" s="62">
        <v>1.5179963439624274E-2</v>
      </c>
      <c r="N327" s="62">
        <v>2.0327212322424397E-2</v>
      </c>
      <c r="O327" s="62">
        <v>3.0651465237424909E-2</v>
      </c>
      <c r="P327" s="62">
        <v>4.5913482612656362E-2</v>
      </c>
      <c r="Q327" s="62">
        <v>5.7343248291389426E-2</v>
      </c>
      <c r="R327" s="62">
        <v>5.5232311297210249E-2</v>
      </c>
      <c r="S327" s="62">
        <v>6.542648104053464E-2</v>
      </c>
      <c r="T327" s="62">
        <v>8.0639022691478032E-2</v>
      </c>
      <c r="U327" s="62">
        <v>7.8475270684739681E-2</v>
      </c>
      <c r="V327" s="62">
        <v>8.5926182177040469E-2</v>
      </c>
      <c r="W327" s="62">
        <v>0.13903886189186657</v>
      </c>
      <c r="X327" s="62">
        <v>7.5684315178021377E-2</v>
      </c>
      <c r="Y327" s="62">
        <v>3.0694043360759076E-2</v>
      </c>
    </row>
    <row r="328" spans="1:26" ht="27.6" customHeight="1" x14ac:dyDescent="0.4">
      <c r="C328" s="9"/>
      <c r="D328" s="7"/>
      <c r="E328" s="68"/>
      <c r="F328" s="1"/>
      <c r="G328" s="62">
        <v>8.4728222346023493E-3</v>
      </c>
      <c r="H328" s="62">
        <v>4.0978761361469891E-2</v>
      </c>
      <c r="I328" s="62">
        <v>8.0760944233577159E-2</v>
      </c>
      <c r="J328" s="62">
        <v>0.11622119781653624</v>
      </c>
      <c r="K328" s="62">
        <v>0.18571658762380669</v>
      </c>
      <c r="L328" s="62">
        <v>0.2194681397748304</v>
      </c>
      <c r="M328" s="62">
        <v>0.23464810321445467</v>
      </c>
      <c r="N328" s="62">
        <v>0.25497531553687908</v>
      </c>
      <c r="O328" s="62">
        <v>0.28562678077430398</v>
      </c>
      <c r="P328" s="62">
        <v>0.33154026338696035</v>
      </c>
      <c r="Q328" s="62">
        <v>0.38888351167834978</v>
      </c>
      <c r="R328" s="62">
        <v>0.44411582297556002</v>
      </c>
      <c r="S328" s="62">
        <v>0.50954230401609468</v>
      </c>
      <c r="T328" s="62">
        <v>0.59018132670757273</v>
      </c>
      <c r="U328" s="62">
        <v>0.66865659739231242</v>
      </c>
      <c r="V328" s="62">
        <v>0.75458277956935293</v>
      </c>
      <c r="W328" s="62">
        <v>0.89362164146121947</v>
      </c>
      <c r="X328" s="62">
        <v>0.9693059566392408</v>
      </c>
      <c r="Y328" s="62">
        <v>0.99999999999999989</v>
      </c>
    </row>
    <row r="329" spans="1:26" ht="27.6" customHeight="1" x14ac:dyDescent="0.4">
      <c r="C329" s="9"/>
      <c r="D329" s="7"/>
      <c r="E329" s="68"/>
      <c r="F329" s="1"/>
    </row>
    <row r="331" spans="1:26" ht="27.6" customHeight="1" x14ac:dyDescent="0.4">
      <c r="P331" s="62">
        <f>P327-P320</f>
        <v>3.2590108137617542E-2</v>
      </c>
      <c r="Q331" s="62">
        <f t="shared" ref="Q331:Y331" si="237">Q327-Q320</f>
        <v>4.5743248291389427E-2</v>
      </c>
      <c r="R331" s="62">
        <f t="shared" si="237"/>
        <v>2.2932311297210246E-2</v>
      </c>
      <c r="S331" s="62">
        <f t="shared" si="237"/>
        <v>-2.1973518959465366E-2</v>
      </c>
      <c r="T331" s="62">
        <f t="shared" si="237"/>
        <v>-1.2160977308521961E-2</v>
      </c>
      <c r="U331" s="62">
        <f t="shared" si="237"/>
        <v>-5.0624729315260311E-2</v>
      </c>
      <c r="V331" s="62">
        <f t="shared" si="237"/>
        <v>1.8926182177040465E-2</v>
      </c>
      <c r="W331" s="62">
        <f t="shared" si="237"/>
        <v>7.193886189186656E-2</v>
      </c>
      <c r="X331" s="62">
        <f t="shared" si="237"/>
        <v>-1.2156848219786187E-3</v>
      </c>
      <c r="Y331" s="62">
        <f t="shared" si="237"/>
        <v>-1.360595663924093E-2</v>
      </c>
    </row>
  </sheetData>
  <autoFilter ref="D1:D329" xr:uid="{62A73D0E-48A7-47BF-AB27-8F0B9B451CAD}"/>
  <mergeCells count="22">
    <mergeCell ref="A1:Y2"/>
    <mergeCell ref="B320:F320"/>
    <mergeCell ref="B321:F321"/>
    <mergeCell ref="B317:E317"/>
    <mergeCell ref="B318:E318"/>
    <mergeCell ref="B315:E315"/>
    <mergeCell ref="B316:E316"/>
    <mergeCell ref="B313:E313"/>
    <mergeCell ref="B314:E314"/>
    <mergeCell ref="B3:Y3"/>
    <mergeCell ref="B5:Y5"/>
    <mergeCell ref="B4:Y4"/>
    <mergeCell ref="B8:B10"/>
    <mergeCell ref="C8:C10"/>
    <mergeCell ref="D8:D10"/>
    <mergeCell ref="E8:E10"/>
    <mergeCell ref="Z6:Z10"/>
    <mergeCell ref="F8:F10"/>
    <mergeCell ref="A8:A10"/>
    <mergeCell ref="A322:Y322"/>
    <mergeCell ref="A7:F7"/>
    <mergeCell ref="G6:Y6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20" fitToHeight="0" orientation="landscape" errors="blank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Sheet</vt:lpstr>
      <vt:lpstr>Sheet!Área_de_impresión</vt:lpstr>
      <vt:lpstr>Sheet!Títulos_a_imprimir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VG</dc:creator>
  <cp:lastModifiedBy>FSH</cp:lastModifiedBy>
  <cp:lastPrinted>2025-05-07T16:47:10Z</cp:lastPrinted>
  <dcterms:created xsi:type="dcterms:W3CDTF">2024-05-06T15:58:58Z</dcterms:created>
  <dcterms:modified xsi:type="dcterms:W3CDTF">2026-02-27T23:44:52Z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21.2.6.0</vt:lpwstr>
  </property>
</Properties>
</file>